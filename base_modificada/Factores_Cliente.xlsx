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Nuevos Negocios\Juliana\10 TRBJ\12 Ops Comp\05 Costos\09 Presupuesto - Budget - Fcst\2026\"/>
    </mc:Choice>
  </mc:AlternateContent>
  <xr:revisionPtr revIDLastSave="0" documentId="13_ncr:1_{6AF548E5-831A-41F6-9B55-6AA639E1484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actores" sheetId="2" r:id="rId1"/>
    <sheet name="Hoja1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2" i="1"/>
</calcChain>
</file>

<file path=xl/sharedStrings.xml><?xml version="1.0" encoding="utf-8"?>
<sst xmlns="http://schemas.openxmlformats.org/spreadsheetml/2006/main" count="521" uniqueCount="252">
  <si>
    <t>SECTOR/SERVICIO CEBE/CECO</t>
  </si>
  <si>
    <t>CLIENTE</t>
  </si>
  <si>
    <t>CONCEPTO 1</t>
  </si>
  <si>
    <t>CONCEPTO 2</t>
  </si>
  <si>
    <t>MINERIA</t>
  </si>
  <si>
    <t>Lundin GOLD</t>
  </si>
  <si>
    <t>Minería</t>
  </si>
  <si>
    <t>FILO DEL SOL</t>
  </si>
  <si>
    <t>ESTANCIA GUAÑIZUIL</t>
  </si>
  <si>
    <t>JOSE MARÍA</t>
  </si>
  <si>
    <t>OTRAS OP DEDICADAS</t>
  </si>
  <si>
    <t>Vestas</t>
  </si>
  <si>
    <t>Parque Eólico</t>
  </si>
  <si>
    <t xml:space="preserve">Vestas - El Llano </t>
  </si>
  <si>
    <t>Vestas - La Elbita</t>
  </si>
  <si>
    <t>PETROLEO</t>
  </si>
  <si>
    <t>PLUSPETROL SA</t>
  </si>
  <si>
    <t>AP</t>
  </si>
  <si>
    <t>CAPEX</t>
  </si>
  <si>
    <t>FIJO</t>
  </si>
  <si>
    <t>LA YESERA</t>
  </si>
  <si>
    <t>LOMA NEGRA</t>
  </si>
  <si>
    <t>CAPEX - Aguada del Cajon</t>
  </si>
  <si>
    <t>Vista OIL</t>
  </si>
  <si>
    <t xml:space="preserve">Médico asistencial </t>
  </si>
  <si>
    <t>Vista Oil - Yac. Bajada del Palo y Aguila Mora</t>
  </si>
  <si>
    <t>Vista Oil - Yac. Entre Lomas</t>
  </si>
  <si>
    <t>AJUSTES y BONOS 2022</t>
  </si>
  <si>
    <t>EVENTUAL</t>
  </si>
  <si>
    <t>EVENTUALES - Enfermero simple</t>
  </si>
  <si>
    <t>YPF</t>
  </si>
  <si>
    <t>YPF - Área Protegida - OPESSA</t>
  </si>
  <si>
    <t>YPF - Área Protegida - YPF GAS</t>
  </si>
  <si>
    <t>EVENTUALES</t>
  </si>
  <si>
    <t>MEDICAMENTOS</t>
  </si>
  <si>
    <t>YPF - Área Protegida - YPF</t>
  </si>
  <si>
    <t>DEA</t>
  </si>
  <si>
    <t>YPF - DEAS</t>
  </si>
  <si>
    <t>CHACHAUEN</t>
  </si>
  <si>
    <t>EL PORTON</t>
  </si>
  <si>
    <t>YPF - Puesto Molina</t>
  </si>
  <si>
    <t>AJUSTE TARIFARIO C505274</t>
  </si>
  <si>
    <t>CAPEX - Aguada del Cajon SRL</t>
  </si>
  <si>
    <t>Total</t>
  </si>
  <si>
    <t>TOTAL - Total Austral</t>
  </si>
  <si>
    <t>YPF - Eventuales Z2 N</t>
  </si>
  <si>
    <t>YPF - Eventuales Z3 N</t>
  </si>
  <si>
    <t>YPF - Eventuales Z4 N</t>
  </si>
  <si>
    <t>YPF - Yac. Fijos - Z2 N</t>
  </si>
  <si>
    <t>YPF - Yac. Fijos - Z3 N</t>
  </si>
  <si>
    <t>YPF - Yac. Fijos - Z4 N</t>
  </si>
  <si>
    <t>YPF - Eventuales Z3 P</t>
  </si>
  <si>
    <t>YPF - Eventuales Z4 P</t>
  </si>
  <si>
    <t>YPF - Yac. Fijos - Z2 P</t>
  </si>
  <si>
    <t>YPF - Yac. Fijos - Z4 P</t>
  </si>
  <si>
    <t>YPF - Minería</t>
  </si>
  <si>
    <t>AJUSTE TARIFARIO C505258</t>
  </si>
  <si>
    <t xml:space="preserve">YPF REGIÓN 1  Urg y Emer </t>
  </si>
  <si>
    <t>Ganfeng</t>
  </si>
  <si>
    <t>PPG</t>
  </si>
  <si>
    <t>Petróleo - Área Protegida</t>
  </si>
  <si>
    <t>Petróleo - DEA</t>
  </si>
  <si>
    <t>Don peter</t>
  </si>
  <si>
    <t>SACDE</t>
  </si>
  <si>
    <t>SACDE - Techint</t>
  </si>
  <si>
    <t>AGV- Servicios Mineros</t>
  </si>
  <si>
    <t>Proyecto Tren Belgrano</t>
  </si>
  <si>
    <t>Petróleo - Eventos</t>
  </si>
  <si>
    <t>ACONCAGUA</t>
  </si>
  <si>
    <t>Oilfield &amp; Production Services srl</t>
  </si>
  <si>
    <t>Glencore</t>
  </si>
  <si>
    <t>Glencore El pachon</t>
  </si>
  <si>
    <t>SESA</t>
  </si>
  <si>
    <t>Arizaro</t>
  </si>
  <si>
    <t xml:space="preserve">YPF PSICOSOCIAL </t>
  </si>
  <si>
    <t xml:space="preserve">Vestas - Wayra - Pepe VI </t>
  </si>
  <si>
    <t>Mariana</t>
  </si>
  <si>
    <t>SACDE - Gasoducto TGS C.Ordoqui</t>
  </si>
  <si>
    <t>SACDE - Cordoba</t>
  </si>
  <si>
    <t>HANAQ</t>
  </si>
  <si>
    <t xml:space="preserve">HANAQ - Salta - Proyecto Doncella </t>
  </si>
  <si>
    <t>MILICIC</t>
  </si>
  <si>
    <t>Proyecto VMOC</t>
  </si>
  <si>
    <t>Guemes</t>
  </si>
  <si>
    <t>Vestas - La Rinconada</t>
  </si>
  <si>
    <t>PECOM</t>
  </si>
  <si>
    <t>Glencore - Mina Mara</t>
  </si>
  <si>
    <t>Minera Arg del SUD</t>
  </si>
  <si>
    <t xml:space="preserve">GWK Mineral </t>
  </si>
  <si>
    <t>Proyecto del Toro</t>
  </si>
  <si>
    <t>SALES DE JUJUY</t>
  </si>
  <si>
    <t>Sales de Jujuy</t>
  </si>
  <si>
    <t>Proyecto La Coipita</t>
  </si>
  <si>
    <t xml:space="preserve">PAMPA ENERGÍA </t>
  </si>
  <si>
    <t xml:space="preserve">PAMPA ENERGÍA - Buenos Aires </t>
  </si>
  <si>
    <t>GeoPark</t>
  </si>
  <si>
    <t>HANAQ - La Rioja  - Caballos</t>
  </si>
  <si>
    <t xml:space="preserve">HANAQ - Jujuy - Providencia </t>
  </si>
  <si>
    <t>JOSE MARÍA USD</t>
  </si>
  <si>
    <t>NORDEX</t>
  </si>
  <si>
    <t>PAMPA ENERGÍA - Neuquen LLL</t>
  </si>
  <si>
    <t>REFIPAMPA</t>
  </si>
  <si>
    <t>SACDE - Mangrullo</t>
  </si>
  <si>
    <t xml:space="preserve">SACDE - Sauce Viejo </t>
  </si>
  <si>
    <t>Proyecto Diablillos</t>
  </si>
  <si>
    <t xml:space="preserve">INTEGRA </t>
  </si>
  <si>
    <t>EPEN</t>
  </si>
  <si>
    <t>Obras Infraestructura EPEN</t>
  </si>
  <si>
    <t>TGS</t>
  </si>
  <si>
    <t xml:space="preserve">TGS - Río Salado </t>
  </si>
  <si>
    <t xml:space="preserve">YPF VMOS - Fijo </t>
  </si>
  <si>
    <t>QUINTANA E&amp;P</t>
  </si>
  <si>
    <t>EFO</t>
  </si>
  <si>
    <t>GENNEIA</t>
  </si>
  <si>
    <t>Parque Solar San Juan Sur</t>
  </si>
  <si>
    <t xml:space="preserve">BENTIA </t>
  </si>
  <si>
    <t xml:space="preserve">US Fijas </t>
  </si>
  <si>
    <t>YPF VMOS - Eventual día</t>
  </si>
  <si>
    <t>YPF VMOS - Eventual noche</t>
  </si>
  <si>
    <t>TECMACO</t>
  </si>
  <si>
    <t xml:space="preserve">EVENTUALES - Enfermero doble </t>
  </si>
  <si>
    <t>Parque Solar Ullúm</t>
  </si>
  <si>
    <t>Techint</t>
  </si>
  <si>
    <t xml:space="preserve">Gasoducto Duplicar Norte </t>
  </si>
  <si>
    <t>Parque Solar Junin</t>
  </si>
  <si>
    <t>Parque Solar Lincoln</t>
  </si>
  <si>
    <t>Fortescue</t>
  </si>
  <si>
    <t>Proyecto Nacimiento/Vanesa</t>
  </si>
  <si>
    <t>First Quantum</t>
  </si>
  <si>
    <t>Vendaval</t>
  </si>
  <si>
    <t>Contreras</t>
  </si>
  <si>
    <t>Proyecto Las grutas</t>
  </si>
  <si>
    <t>IAN Servicios</t>
  </si>
  <si>
    <t>Rio Tinto</t>
  </si>
  <si>
    <t>Salar de Rincon &amp; Sal de vida</t>
  </si>
  <si>
    <t>ENEL</t>
  </si>
  <si>
    <t>Enel</t>
  </si>
  <si>
    <t>Obras Infraestructura en NOA &amp; Rio negro/NQN</t>
  </si>
  <si>
    <t>Casposo</t>
  </si>
  <si>
    <t>McEwen</t>
  </si>
  <si>
    <t>Los Azules</t>
  </si>
  <si>
    <t>Minera San Jorge SA</t>
  </si>
  <si>
    <t>Proyecto San Jorge</t>
  </si>
  <si>
    <t xml:space="preserve">Vestas - Olavarría </t>
  </si>
  <si>
    <t>Vestas - Mataco III</t>
  </si>
  <si>
    <t xml:space="preserve">Gasoducto Southern Energy GNL </t>
  </si>
  <si>
    <t>Factores Clientes</t>
  </si>
  <si>
    <t>Cliente_Concepto2</t>
  </si>
  <si>
    <t>Lundin GOLD | FILO DEL SOL</t>
  </si>
  <si>
    <t>Lundin GOLD | ESTANCIA GUAÑIZUIL</t>
  </si>
  <si>
    <t>Lundin GOLD | JOSE MARÍA</t>
  </si>
  <si>
    <t xml:space="preserve">Vestas | Vestas - El Llano </t>
  </si>
  <si>
    <t>Vestas | Vestas - La Elbita</t>
  </si>
  <si>
    <t>PLUSPETROL SA | PLUSPETROL SA</t>
  </si>
  <si>
    <t>CAPEX | LA YESERA</t>
  </si>
  <si>
    <t>CAPEX | LOMA NEGRA</t>
  </si>
  <si>
    <t>CAPEX | CAPEX - Aguada del Cajon</t>
  </si>
  <si>
    <t xml:space="preserve">Vista OIL | Médico asistencial </t>
  </si>
  <si>
    <t>Vista OIL | Vista Oil - Yac. Bajada del Palo y Aguila Mora</t>
  </si>
  <si>
    <t>Vista OIL | Vista Oil - Yac. Entre Lomas</t>
  </si>
  <si>
    <t>Vista OIL | AJUSTES y BONOS 2022</t>
  </si>
  <si>
    <t>Vista OIL | EVENTUALES - Enfermero simple</t>
  </si>
  <si>
    <t>YPF | YPF - Área Protegida - OPESSA</t>
  </si>
  <si>
    <t>YPF | YPF - Área Protegida - YPF GAS</t>
  </si>
  <si>
    <t>YPF | EVENTUALES</t>
  </si>
  <si>
    <t>YPF | MEDICAMENTOS</t>
  </si>
  <si>
    <t>YPF | YPF - Área Protegida - YPF</t>
  </si>
  <si>
    <t>YPF | YPF - DEAS</t>
  </si>
  <si>
    <t>YPF | CHACHAUEN</t>
  </si>
  <si>
    <t>YPF | EL PORTON</t>
  </si>
  <si>
    <t>YPF | YPF - Puesto Molina</t>
  </si>
  <si>
    <t>YPF | AJUSTE TARIFARIO C505274</t>
  </si>
  <si>
    <t>CAPEX | CAPEX - Aguada del Cajon SRL</t>
  </si>
  <si>
    <t>Total | TOTAL - Total Austral</t>
  </si>
  <si>
    <t>YPF | YPF - Eventuales Z2 N</t>
  </si>
  <si>
    <t>YPF | YPF - Eventuales Z3 N</t>
  </si>
  <si>
    <t>YPF | YPF - Eventuales Z4 N</t>
  </si>
  <si>
    <t>YPF | YPF - Yac. Fijos - Z2 N</t>
  </si>
  <si>
    <t>YPF | YPF - Yac. Fijos - Z3 N</t>
  </si>
  <si>
    <t>YPF | YPF - Yac. Fijos - Z4 N</t>
  </si>
  <si>
    <t>YPF | YPF - Eventuales Z3 P</t>
  </si>
  <si>
    <t>YPF | YPF - Eventuales Z4 P</t>
  </si>
  <si>
    <t>YPF | YPF - Yac. Fijos - Z2 P</t>
  </si>
  <si>
    <t>YPF | YPF - Yac. Fijos - Z4 P</t>
  </si>
  <si>
    <t>YPF | YPF - Minería</t>
  </si>
  <si>
    <t>YPF | AJUSTE TARIFARIO C505258</t>
  </si>
  <si>
    <t xml:space="preserve">YPF REGIÓN 1  Urg y Emer  | YPF REGIÓN 1  Urg y Emer </t>
  </si>
  <si>
    <t>Ganfeng | PPG</t>
  </si>
  <si>
    <t>Petróleo - Área Protegida | Petróleo - Área Protegida</t>
  </si>
  <si>
    <t>Petróleo - DEA | Petróleo - DEA</t>
  </si>
  <si>
    <t>Lundin GOLD | Don peter</t>
  </si>
  <si>
    <t>SACDE | SACDE - Techint</t>
  </si>
  <si>
    <t>AGV- Servicios Mineros | Proyecto Tren Belgrano</t>
  </si>
  <si>
    <t>Petróleo - Eventos | Petróleo - Eventos</t>
  </si>
  <si>
    <t>ACONCAGUA | ACONCAGUA</t>
  </si>
  <si>
    <t>Oilfield &amp; Production Services srl | Oilfield &amp; Production Services srl</t>
  </si>
  <si>
    <t>Glencore | Glencore El pachon</t>
  </si>
  <si>
    <t>SESA | Arizaro</t>
  </si>
  <si>
    <t xml:space="preserve">YPF PSICOSOCIAL  | YPF PSICOSOCIAL </t>
  </si>
  <si>
    <t xml:space="preserve">Vestas | Vestas - Wayra - Pepe VI </t>
  </si>
  <si>
    <t>Ganfeng | Mariana</t>
  </si>
  <si>
    <t>SACDE | SACDE - Gasoducto TGS C.Ordoqui</t>
  </si>
  <si>
    <t>SACDE | SACDE - Cordoba</t>
  </si>
  <si>
    <t xml:space="preserve">HANAQ | HANAQ - Salta - Proyecto Doncella </t>
  </si>
  <si>
    <t>MILICIC | Proyecto VMOC</t>
  </si>
  <si>
    <t>Ganfeng | Guemes</t>
  </si>
  <si>
    <t>Vestas | Vestas - La Rinconada</t>
  </si>
  <si>
    <t>PECOM | PECOM</t>
  </si>
  <si>
    <t>Glencore | Glencore - Mina Mara</t>
  </si>
  <si>
    <t>Minera Arg del SUD | Minera Arg del SUD</t>
  </si>
  <si>
    <t>GWK Mineral  | Proyecto del Toro</t>
  </si>
  <si>
    <t>SALES DE JUJUY | Sales de Jujuy</t>
  </si>
  <si>
    <t>Proyecto La Coipita | Proyecto La Coipita</t>
  </si>
  <si>
    <t xml:space="preserve">PAMPA ENERGÍA  | PAMPA ENERGÍA - Buenos Aires </t>
  </si>
  <si>
    <t>GeoPark | GeoPark</t>
  </si>
  <si>
    <t>HANAQ | HANAQ - La Rioja  - Caballos</t>
  </si>
  <si>
    <t xml:space="preserve">HANAQ | HANAQ - Jujuy - Providencia </t>
  </si>
  <si>
    <t>Lundin GOLD | JOSE MARÍA USD</t>
  </si>
  <si>
    <t>NORDEX | NORDEX</t>
  </si>
  <si>
    <t>PAMPA ENERGÍA  | PAMPA ENERGÍA - Neuquen LLL</t>
  </si>
  <si>
    <t>REFIPAMPA | REFIPAMPA</t>
  </si>
  <si>
    <t>SACDE | SACDE - Mangrullo</t>
  </si>
  <si>
    <t xml:space="preserve">SACDE | SACDE - Sauce Viejo </t>
  </si>
  <si>
    <t>SESA | Proyecto Diablillos</t>
  </si>
  <si>
    <t xml:space="preserve">INTEGRA  | INTEGRA </t>
  </si>
  <si>
    <t>EPEN | Obras Infraestructura EPEN</t>
  </si>
  <si>
    <t xml:space="preserve">TGS | TGS - Río Salado </t>
  </si>
  <si>
    <t xml:space="preserve">YPF | YPF VMOS - Fijo </t>
  </si>
  <si>
    <t>QUINTANA E&amp;P | EFO</t>
  </si>
  <si>
    <t>GENNEIA | Parque Solar San Juan Sur</t>
  </si>
  <si>
    <t xml:space="preserve">BENTIA  | US Fijas </t>
  </si>
  <si>
    <t>YPF | YPF VMOS - Eventual día</t>
  </si>
  <si>
    <t>YPF | YPF VMOS - Eventual noche</t>
  </si>
  <si>
    <t>TECMACO | TECMACO</t>
  </si>
  <si>
    <t xml:space="preserve">Vista OIL | EVENTUALES - Enfermero doble </t>
  </si>
  <si>
    <t>GENNEIA | Parque Solar Ullúm</t>
  </si>
  <si>
    <t xml:space="preserve">Techint | Gasoducto Duplicar Norte </t>
  </si>
  <si>
    <t>GENNEIA | Parque Solar Junin</t>
  </si>
  <si>
    <t>GENNEIA | Parque Solar Lincoln</t>
  </si>
  <si>
    <t>Fortescue | Proyecto Nacimiento/Vanesa</t>
  </si>
  <si>
    <t>First Quantum | Vendaval</t>
  </si>
  <si>
    <t>Contreras | Proyecto Las grutas</t>
  </si>
  <si>
    <t>IAN Servicios | IAN Servicios</t>
  </si>
  <si>
    <t>Rio Tinto | Salar de Rincon &amp; Sal de vida</t>
  </si>
  <si>
    <t>ENEL | Enel</t>
  </si>
  <si>
    <t>MILICIC | Obras Infraestructura en NOA &amp; Rio negro/NQN</t>
  </si>
  <si>
    <t>Casposo | Casposo</t>
  </si>
  <si>
    <t>McEwen | Los Azules</t>
  </si>
  <si>
    <t>Minera San Jorge SA | Proyecto San Jorge</t>
  </si>
  <si>
    <t xml:space="preserve">Vestas | Vestas - Olavarría </t>
  </si>
  <si>
    <t>Vestas | Vestas - Mataco III</t>
  </si>
  <si>
    <t xml:space="preserve">Techint | Gasoducto Southern Energy GNL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</si>
</sst>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7" fontId="0" fillId="0" borderId="0" xfId="0" applyNumberFormat="1"/>
    <xf numFmtId="17" fontId="2" fillId="0" borderId="1" xfId="0" applyNumberFormat="1" applyFont="1" applyBorder="1" applyAlignment="1">
      <alignment horizontal="center"/>
    </xf>
    <xf numFmtId="43" fontId="0" fillId="0" borderId="0" xfId="1" applyFont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9" fontId="0" fillId="0" borderId="0" xfId="2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9F89-04B2-4FB2-8317-FF5F118F09F8}">
  <dimension ref="A1:B106"/>
  <sheetViews>
    <sheetView workbookViewId="0">
      <selection activeCell="A10" sqref="A10"/>
    </sheetView>
  </sheetViews>
  <sheetFormatPr baseColWidth="10" defaultColWidth="8.7265625" defaultRowHeight="14.5" x14ac:dyDescent="0.35"/>
  <cols>
    <col min="1" max="1" width="57.08984375" bestFit="1" customWidth="1"/>
    <col min="2" max="2" width="16.90625" style="3" bestFit="1" customWidth="1"/>
  </cols>
  <sheetData>
    <row r="1" spans="1:2" x14ac:dyDescent="0.35">
      <c r="A1" s="4" t="s">
        <v>147</v>
      </c>
      <c r="B1" s="5" t="s">
        <v>146</v>
      </c>
    </row>
    <row r="2" spans="1:2" x14ac:dyDescent="0.35">
      <c r="A2" t="s">
        <v>148</v>
      </c>
      <c r="B2" s="3">
        <v>0.1</v>
      </c>
    </row>
    <row r="3" spans="1:2" x14ac:dyDescent="0.35">
      <c r="A3" t="s">
        <v>149</v>
      </c>
      <c r="B3" s="3">
        <v>0.1</v>
      </c>
    </row>
    <row r="4" spans="1:2" x14ac:dyDescent="0.35">
      <c r="A4" t="s">
        <v>150</v>
      </c>
      <c r="B4" s="3">
        <v>0.1</v>
      </c>
    </row>
    <row r="5" spans="1:2" x14ac:dyDescent="0.35">
      <c r="A5" t="s">
        <v>151</v>
      </c>
      <c r="B5" s="3">
        <v>0.1</v>
      </c>
    </row>
    <row r="6" spans="1:2" x14ac:dyDescent="0.35">
      <c r="A6" t="s">
        <v>152</v>
      </c>
      <c r="B6" s="3">
        <v>0.1</v>
      </c>
    </row>
    <row r="7" spans="1:2" x14ac:dyDescent="0.35">
      <c r="A7" t="s">
        <v>153</v>
      </c>
      <c r="B7" s="3">
        <v>0.1</v>
      </c>
    </row>
    <row r="8" spans="1:2" x14ac:dyDescent="0.35">
      <c r="A8" t="s">
        <v>154</v>
      </c>
      <c r="B8" s="3">
        <v>0.1</v>
      </c>
    </row>
    <row r="9" spans="1:2" x14ac:dyDescent="0.35">
      <c r="A9" t="s">
        <v>155</v>
      </c>
      <c r="B9" s="3">
        <v>0.1</v>
      </c>
    </row>
    <row r="10" spans="1:2" x14ac:dyDescent="0.35">
      <c r="A10" t="s">
        <v>156</v>
      </c>
      <c r="B10" s="3">
        <v>0.1</v>
      </c>
    </row>
    <row r="11" spans="1:2" x14ac:dyDescent="0.35">
      <c r="A11" t="s">
        <v>157</v>
      </c>
      <c r="B11" s="3">
        <v>0.1</v>
      </c>
    </row>
    <row r="12" spans="1:2" x14ac:dyDescent="0.35">
      <c r="A12" t="s">
        <v>158</v>
      </c>
      <c r="B12" s="3">
        <v>0.1</v>
      </c>
    </row>
    <row r="13" spans="1:2" x14ac:dyDescent="0.35">
      <c r="A13" t="s">
        <v>159</v>
      </c>
      <c r="B13" s="3">
        <v>0.1</v>
      </c>
    </row>
    <row r="14" spans="1:2" x14ac:dyDescent="0.35">
      <c r="A14" t="s">
        <v>160</v>
      </c>
      <c r="B14" s="3">
        <v>0.1</v>
      </c>
    </row>
    <row r="15" spans="1:2" x14ac:dyDescent="0.35">
      <c r="A15" t="s">
        <v>161</v>
      </c>
      <c r="B15" s="3">
        <v>0.1</v>
      </c>
    </row>
    <row r="16" spans="1:2" x14ac:dyDescent="0.35">
      <c r="A16" t="s">
        <v>162</v>
      </c>
      <c r="B16" s="3">
        <v>0.1</v>
      </c>
    </row>
    <row r="17" spans="1:2" x14ac:dyDescent="0.35">
      <c r="A17" t="s">
        <v>163</v>
      </c>
      <c r="B17" s="3">
        <v>0.1</v>
      </c>
    </row>
    <row r="18" spans="1:2" x14ac:dyDescent="0.35">
      <c r="A18" t="s">
        <v>164</v>
      </c>
      <c r="B18" s="3">
        <v>0.1</v>
      </c>
    </row>
    <row r="19" spans="1:2" x14ac:dyDescent="0.35">
      <c r="A19" t="s">
        <v>165</v>
      </c>
      <c r="B19" s="3">
        <v>0.1</v>
      </c>
    </row>
    <row r="20" spans="1:2" x14ac:dyDescent="0.35">
      <c r="A20" t="s">
        <v>166</v>
      </c>
      <c r="B20" s="3">
        <v>0.1</v>
      </c>
    </row>
    <row r="21" spans="1:2" x14ac:dyDescent="0.35">
      <c r="A21" t="s">
        <v>167</v>
      </c>
      <c r="B21" s="3">
        <v>0.1</v>
      </c>
    </row>
    <row r="22" spans="1:2" x14ac:dyDescent="0.35">
      <c r="A22" t="s">
        <v>168</v>
      </c>
      <c r="B22" s="3">
        <v>0.1</v>
      </c>
    </row>
    <row r="23" spans="1:2" x14ac:dyDescent="0.35">
      <c r="A23" t="s">
        <v>169</v>
      </c>
      <c r="B23" s="3">
        <v>0.1</v>
      </c>
    </row>
    <row r="24" spans="1:2" x14ac:dyDescent="0.35">
      <c r="A24" t="s">
        <v>170</v>
      </c>
      <c r="B24" s="3">
        <v>0.1</v>
      </c>
    </row>
    <row r="25" spans="1:2" x14ac:dyDescent="0.35">
      <c r="A25" t="s">
        <v>171</v>
      </c>
      <c r="B25" s="3">
        <v>0.1</v>
      </c>
    </row>
    <row r="26" spans="1:2" x14ac:dyDescent="0.35">
      <c r="A26" t="s">
        <v>172</v>
      </c>
      <c r="B26" s="3">
        <v>0.1</v>
      </c>
    </row>
    <row r="27" spans="1:2" x14ac:dyDescent="0.35">
      <c r="A27" t="s">
        <v>173</v>
      </c>
      <c r="B27" s="3">
        <v>0.1</v>
      </c>
    </row>
    <row r="28" spans="1:2" x14ac:dyDescent="0.35">
      <c r="A28" t="s">
        <v>174</v>
      </c>
      <c r="B28" s="3">
        <v>0.1</v>
      </c>
    </row>
    <row r="29" spans="1:2" x14ac:dyDescent="0.35">
      <c r="A29" t="s">
        <v>175</v>
      </c>
      <c r="B29" s="3">
        <v>0.1</v>
      </c>
    </row>
    <row r="30" spans="1:2" x14ac:dyDescent="0.35">
      <c r="A30" t="s">
        <v>176</v>
      </c>
      <c r="B30" s="3">
        <v>0.1</v>
      </c>
    </row>
    <row r="31" spans="1:2" x14ac:dyDescent="0.35">
      <c r="A31" t="s">
        <v>177</v>
      </c>
      <c r="B31" s="3">
        <v>0.1</v>
      </c>
    </row>
    <row r="32" spans="1:2" x14ac:dyDescent="0.35">
      <c r="A32" t="s">
        <v>178</v>
      </c>
      <c r="B32" s="3">
        <v>0.1</v>
      </c>
    </row>
    <row r="33" spans="1:2" x14ac:dyDescent="0.35">
      <c r="A33" t="s">
        <v>179</v>
      </c>
      <c r="B33" s="3">
        <v>0.1</v>
      </c>
    </row>
    <row r="34" spans="1:2" x14ac:dyDescent="0.35">
      <c r="A34" t="s">
        <v>180</v>
      </c>
      <c r="B34" s="3">
        <v>0.1</v>
      </c>
    </row>
    <row r="35" spans="1:2" x14ac:dyDescent="0.35">
      <c r="A35" t="s">
        <v>181</v>
      </c>
      <c r="B35" s="3">
        <v>0.1</v>
      </c>
    </row>
    <row r="36" spans="1:2" x14ac:dyDescent="0.35">
      <c r="A36" t="s">
        <v>182</v>
      </c>
      <c r="B36" s="3">
        <v>0.1</v>
      </c>
    </row>
    <row r="37" spans="1:2" x14ac:dyDescent="0.35">
      <c r="A37" t="s">
        <v>183</v>
      </c>
      <c r="B37" s="3">
        <v>0.1</v>
      </c>
    </row>
    <row r="38" spans="1:2" x14ac:dyDescent="0.35">
      <c r="A38" t="s">
        <v>183</v>
      </c>
      <c r="B38" s="3">
        <v>0.1</v>
      </c>
    </row>
    <row r="39" spans="1:2" x14ac:dyDescent="0.35">
      <c r="A39" t="s">
        <v>184</v>
      </c>
      <c r="B39" s="3">
        <v>0.1</v>
      </c>
    </row>
    <row r="40" spans="1:2" x14ac:dyDescent="0.35">
      <c r="A40" t="s">
        <v>185</v>
      </c>
      <c r="B40" s="3">
        <v>0.1</v>
      </c>
    </row>
    <row r="41" spans="1:2" x14ac:dyDescent="0.35">
      <c r="A41" t="s">
        <v>186</v>
      </c>
      <c r="B41" s="3">
        <v>0.1</v>
      </c>
    </row>
    <row r="42" spans="1:2" x14ac:dyDescent="0.35">
      <c r="A42" t="s">
        <v>187</v>
      </c>
      <c r="B42" s="3">
        <v>0.1</v>
      </c>
    </row>
    <row r="43" spans="1:2" x14ac:dyDescent="0.35">
      <c r="A43" t="s">
        <v>188</v>
      </c>
      <c r="B43" s="3">
        <v>0.1</v>
      </c>
    </row>
    <row r="44" spans="1:2" x14ac:dyDescent="0.35">
      <c r="A44" t="s">
        <v>189</v>
      </c>
      <c r="B44" s="3">
        <v>0.1</v>
      </c>
    </row>
    <row r="45" spans="1:2" x14ac:dyDescent="0.35">
      <c r="A45" t="s">
        <v>190</v>
      </c>
      <c r="B45" s="3">
        <v>0.1</v>
      </c>
    </row>
    <row r="46" spans="1:2" x14ac:dyDescent="0.35">
      <c r="A46" t="s">
        <v>191</v>
      </c>
      <c r="B46" s="3">
        <v>0.1</v>
      </c>
    </row>
    <row r="47" spans="1:2" x14ac:dyDescent="0.35">
      <c r="A47" t="s">
        <v>192</v>
      </c>
      <c r="B47" s="3">
        <v>0.1</v>
      </c>
    </row>
    <row r="48" spans="1:2" x14ac:dyDescent="0.35">
      <c r="A48" t="s">
        <v>193</v>
      </c>
      <c r="B48" s="3">
        <v>0.1</v>
      </c>
    </row>
    <row r="49" spans="1:2" x14ac:dyDescent="0.35">
      <c r="A49" t="s">
        <v>194</v>
      </c>
      <c r="B49" s="3">
        <v>0.1</v>
      </c>
    </row>
    <row r="50" spans="1:2" x14ac:dyDescent="0.35">
      <c r="A50" t="s">
        <v>195</v>
      </c>
      <c r="B50" s="3">
        <v>0.1</v>
      </c>
    </row>
    <row r="51" spans="1:2" x14ac:dyDescent="0.35">
      <c r="A51" t="s">
        <v>196</v>
      </c>
      <c r="B51" s="3">
        <v>0.1</v>
      </c>
    </row>
    <row r="52" spans="1:2" x14ac:dyDescent="0.35">
      <c r="A52" t="s">
        <v>197</v>
      </c>
      <c r="B52" s="3">
        <v>0.1</v>
      </c>
    </row>
    <row r="53" spans="1:2" x14ac:dyDescent="0.35">
      <c r="A53" t="s">
        <v>198</v>
      </c>
      <c r="B53" s="3">
        <v>0.1</v>
      </c>
    </row>
    <row r="54" spans="1:2" x14ac:dyDescent="0.35">
      <c r="A54" t="s">
        <v>199</v>
      </c>
      <c r="B54" s="3">
        <v>0.1</v>
      </c>
    </row>
    <row r="55" spans="1:2" x14ac:dyDescent="0.35">
      <c r="A55" t="s">
        <v>200</v>
      </c>
      <c r="B55" s="3">
        <v>0.1</v>
      </c>
    </row>
    <row r="56" spans="1:2" x14ac:dyDescent="0.35">
      <c r="A56" t="s">
        <v>201</v>
      </c>
      <c r="B56" s="3">
        <v>0.1</v>
      </c>
    </row>
    <row r="57" spans="1:2" x14ac:dyDescent="0.35">
      <c r="A57" t="s">
        <v>202</v>
      </c>
      <c r="B57" s="3">
        <v>0.1</v>
      </c>
    </row>
    <row r="58" spans="1:2" x14ac:dyDescent="0.35">
      <c r="A58" t="s">
        <v>203</v>
      </c>
      <c r="B58" s="3">
        <v>0.1</v>
      </c>
    </row>
    <row r="59" spans="1:2" x14ac:dyDescent="0.35">
      <c r="A59" t="s">
        <v>204</v>
      </c>
      <c r="B59" s="3">
        <v>0.1</v>
      </c>
    </row>
    <row r="60" spans="1:2" x14ac:dyDescent="0.35">
      <c r="A60" t="s">
        <v>205</v>
      </c>
      <c r="B60" s="3">
        <v>0.1</v>
      </c>
    </row>
    <row r="61" spans="1:2" x14ac:dyDescent="0.35">
      <c r="A61" t="s">
        <v>206</v>
      </c>
      <c r="B61" s="3">
        <v>0.1</v>
      </c>
    </row>
    <row r="62" spans="1:2" x14ac:dyDescent="0.35">
      <c r="A62" t="s">
        <v>207</v>
      </c>
      <c r="B62" s="3">
        <v>0.1</v>
      </c>
    </row>
    <row r="63" spans="1:2" x14ac:dyDescent="0.35">
      <c r="A63" t="s">
        <v>208</v>
      </c>
      <c r="B63" s="3">
        <v>0.1</v>
      </c>
    </row>
    <row r="64" spans="1:2" x14ac:dyDescent="0.35">
      <c r="A64" t="s">
        <v>209</v>
      </c>
      <c r="B64" s="3">
        <v>0.1</v>
      </c>
    </row>
    <row r="65" spans="1:2" x14ac:dyDescent="0.35">
      <c r="A65" t="s">
        <v>210</v>
      </c>
      <c r="B65" s="3">
        <v>0.1</v>
      </c>
    </row>
    <row r="66" spans="1:2" x14ac:dyDescent="0.35">
      <c r="A66" t="s">
        <v>211</v>
      </c>
      <c r="B66" s="3">
        <v>0.1</v>
      </c>
    </row>
    <row r="67" spans="1:2" x14ac:dyDescent="0.35">
      <c r="A67" t="s">
        <v>212</v>
      </c>
      <c r="B67" s="3">
        <v>0.1</v>
      </c>
    </row>
    <row r="68" spans="1:2" x14ac:dyDescent="0.35">
      <c r="A68" t="s">
        <v>213</v>
      </c>
      <c r="B68" s="3">
        <v>0.1</v>
      </c>
    </row>
    <row r="69" spans="1:2" x14ac:dyDescent="0.35">
      <c r="A69" t="s">
        <v>214</v>
      </c>
      <c r="B69" s="3">
        <v>0.1</v>
      </c>
    </row>
    <row r="70" spans="1:2" x14ac:dyDescent="0.35">
      <c r="A70" t="s">
        <v>215</v>
      </c>
      <c r="B70" s="3">
        <v>0.1</v>
      </c>
    </row>
    <row r="71" spans="1:2" x14ac:dyDescent="0.35">
      <c r="A71" t="s">
        <v>216</v>
      </c>
      <c r="B71" s="3">
        <v>0.1</v>
      </c>
    </row>
    <row r="72" spans="1:2" x14ac:dyDescent="0.35">
      <c r="A72" t="s">
        <v>217</v>
      </c>
      <c r="B72" s="3">
        <v>0.1</v>
      </c>
    </row>
    <row r="73" spans="1:2" x14ac:dyDescent="0.35">
      <c r="A73" t="s">
        <v>218</v>
      </c>
      <c r="B73" s="3">
        <v>0.1</v>
      </c>
    </row>
    <row r="74" spans="1:2" x14ac:dyDescent="0.35">
      <c r="A74" t="s">
        <v>219</v>
      </c>
      <c r="B74" s="3">
        <v>0.1</v>
      </c>
    </row>
    <row r="75" spans="1:2" x14ac:dyDescent="0.35">
      <c r="A75" t="s">
        <v>220</v>
      </c>
      <c r="B75" s="3">
        <v>0.1</v>
      </c>
    </row>
    <row r="76" spans="1:2" x14ac:dyDescent="0.35">
      <c r="A76" t="s">
        <v>221</v>
      </c>
      <c r="B76" s="3">
        <v>0.1</v>
      </c>
    </row>
    <row r="77" spans="1:2" x14ac:dyDescent="0.35">
      <c r="A77" t="s">
        <v>222</v>
      </c>
      <c r="B77" s="3">
        <v>0.1</v>
      </c>
    </row>
    <row r="78" spans="1:2" x14ac:dyDescent="0.35">
      <c r="A78" t="s">
        <v>223</v>
      </c>
      <c r="B78" s="3">
        <v>0.1</v>
      </c>
    </row>
    <row r="79" spans="1:2" x14ac:dyDescent="0.35">
      <c r="A79" t="s">
        <v>224</v>
      </c>
      <c r="B79" s="3">
        <v>0.1</v>
      </c>
    </row>
    <row r="80" spans="1:2" x14ac:dyDescent="0.35">
      <c r="A80" t="s">
        <v>225</v>
      </c>
      <c r="B80" s="3">
        <v>0.1</v>
      </c>
    </row>
    <row r="81" spans="1:2" x14ac:dyDescent="0.35">
      <c r="A81" t="s">
        <v>226</v>
      </c>
      <c r="B81" s="3">
        <v>0.1</v>
      </c>
    </row>
    <row r="82" spans="1:2" x14ac:dyDescent="0.35">
      <c r="A82" t="s">
        <v>227</v>
      </c>
      <c r="B82" s="3">
        <v>0.1</v>
      </c>
    </row>
    <row r="83" spans="1:2" x14ac:dyDescent="0.35">
      <c r="A83" t="s">
        <v>228</v>
      </c>
      <c r="B83" s="3">
        <v>0.1</v>
      </c>
    </row>
    <row r="84" spans="1:2" x14ac:dyDescent="0.35">
      <c r="A84" t="s">
        <v>229</v>
      </c>
      <c r="B84" s="3">
        <v>0.1</v>
      </c>
    </row>
    <row r="85" spans="1:2" x14ac:dyDescent="0.35">
      <c r="A85" t="s">
        <v>230</v>
      </c>
      <c r="B85" s="3">
        <v>0.1</v>
      </c>
    </row>
    <row r="86" spans="1:2" x14ac:dyDescent="0.35">
      <c r="A86" t="s">
        <v>231</v>
      </c>
      <c r="B86" s="3">
        <v>0.1</v>
      </c>
    </row>
    <row r="87" spans="1:2" x14ac:dyDescent="0.35">
      <c r="A87" t="s">
        <v>232</v>
      </c>
      <c r="B87" s="3">
        <v>0.1</v>
      </c>
    </row>
    <row r="88" spans="1:2" x14ac:dyDescent="0.35">
      <c r="A88" t="s">
        <v>233</v>
      </c>
      <c r="B88" s="3">
        <v>0.1</v>
      </c>
    </row>
    <row r="89" spans="1:2" x14ac:dyDescent="0.35">
      <c r="A89" t="s">
        <v>234</v>
      </c>
      <c r="B89" s="3">
        <v>0.1</v>
      </c>
    </row>
    <row r="90" spans="1:2" x14ac:dyDescent="0.35">
      <c r="A90" t="s">
        <v>235</v>
      </c>
      <c r="B90" s="3">
        <v>0.1</v>
      </c>
    </row>
    <row r="91" spans="1:2" x14ac:dyDescent="0.35">
      <c r="A91" t="s">
        <v>236</v>
      </c>
      <c r="B91" s="3">
        <v>0.1</v>
      </c>
    </row>
    <row r="92" spans="1:2" x14ac:dyDescent="0.35">
      <c r="A92" t="s">
        <v>237</v>
      </c>
      <c r="B92" s="3">
        <v>0.1</v>
      </c>
    </row>
    <row r="93" spans="1:2" x14ac:dyDescent="0.35">
      <c r="A93" t="s">
        <v>238</v>
      </c>
      <c r="B93" s="3">
        <v>0.1</v>
      </c>
    </row>
    <row r="94" spans="1:2" x14ac:dyDescent="0.35">
      <c r="A94" t="s">
        <v>239</v>
      </c>
      <c r="B94" s="3">
        <v>0.1</v>
      </c>
    </row>
    <row r="95" spans="1:2" x14ac:dyDescent="0.35">
      <c r="A95" t="s">
        <v>240</v>
      </c>
      <c r="B95" s="3">
        <v>0.1</v>
      </c>
    </row>
    <row r="96" spans="1:2" x14ac:dyDescent="0.35">
      <c r="A96" t="s">
        <v>241</v>
      </c>
      <c r="B96" s="3">
        <v>0.1</v>
      </c>
    </row>
    <row r="97" spans="1:2" x14ac:dyDescent="0.35">
      <c r="A97" t="s">
        <v>242</v>
      </c>
      <c r="B97" s="3">
        <v>0.1</v>
      </c>
    </row>
    <row r="98" spans="1:2" x14ac:dyDescent="0.35">
      <c r="A98" t="s">
        <v>243</v>
      </c>
      <c r="B98" s="3">
        <v>0.1</v>
      </c>
    </row>
    <row r="99" spans="1:2" x14ac:dyDescent="0.35">
      <c r="A99" t="s">
        <v>244</v>
      </c>
      <c r="B99" s="3">
        <v>0.1</v>
      </c>
    </row>
    <row r="100" spans="1:2" x14ac:dyDescent="0.35">
      <c r="A100" t="s">
        <v>245</v>
      </c>
      <c r="B100" s="3">
        <v>0.1</v>
      </c>
    </row>
    <row r="101" spans="1:2" x14ac:dyDescent="0.35">
      <c r="A101" t="s">
        <v>246</v>
      </c>
      <c r="B101" s="3">
        <v>0.1</v>
      </c>
    </row>
    <row r="102" spans="1:2" x14ac:dyDescent="0.35">
      <c r="A102" t="s">
        <v>247</v>
      </c>
      <c r="B102" s="3">
        <v>0.1</v>
      </c>
    </row>
    <row r="103" spans="1:2" x14ac:dyDescent="0.35">
      <c r="A103" t="s">
        <v>248</v>
      </c>
      <c r="B103" s="3">
        <v>0.1</v>
      </c>
    </row>
    <row r="104" spans="1:2" x14ac:dyDescent="0.35">
      <c r="A104" t="s">
        <v>249</v>
      </c>
      <c r="B104" s="3">
        <v>0.1</v>
      </c>
    </row>
    <row r="105" spans="1:2" x14ac:dyDescent="0.35">
      <c r="A105" t="s">
        <v>250</v>
      </c>
      <c r="B105" s="3">
        <v>0.1</v>
      </c>
    </row>
    <row r="106" spans="1:2" x14ac:dyDescent="0.35">
      <c r="A106" t="s">
        <v>251</v>
      </c>
      <c r="B106" s="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topLeftCell="B1" workbookViewId="0">
      <selection activeCell="F8" sqref="F8"/>
    </sheetView>
  </sheetViews>
  <sheetFormatPr baseColWidth="10" defaultColWidth="8.7265625" defaultRowHeight="14.5" x14ac:dyDescent="0.35"/>
  <cols>
    <col min="1" max="1" width="57.08984375" bestFit="1" customWidth="1"/>
    <col min="2" max="2" width="26.1796875" bestFit="1" customWidth="1"/>
    <col min="3" max="3" width="29" bestFit="1" customWidth="1"/>
    <col min="4" max="4" width="14.90625" bestFit="1" customWidth="1"/>
    <col min="5" max="5" width="41.7265625" bestFit="1" customWidth="1"/>
    <col min="6" max="6" width="16.90625" style="3" bestFit="1" customWidth="1"/>
  </cols>
  <sheetData>
    <row r="1" spans="1:6" x14ac:dyDescent="0.35">
      <c r="A1" s="4" t="s">
        <v>147</v>
      </c>
      <c r="B1" s="2" t="s">
        <v>0</v>
      </c>
      <c r="C1" s="2" t="s">
        <v>1</v>
      </c>
      <c r="D1" s="2" t="s">
        <v>2</v>
      </c>
      <c r="E1" s="4" t="s">
        <v>3</v>
      </c>
      <c r="F1" s="5" t="s">
        <v>146</v>
      </c>
    </row>
    <row r="2" spans="1:6" x14ac:dyDescent="0.35">
      <c r="A2" t="str">
        <f>+C2&amp; " | " &amp;E2</f>
        <v>Lundin GOLD | FILO DEL SOL</v>
      </c>
      <c r="B2" s="1" t="s">
        <v>4</v>
      </c>
      <c r="C2" s="1" t="s">
        <v>5</v>
      </c>
      <c r="D2" s="1" t="s">
        <v>6</v>
      </c>
      <c r="E2" s="1" t="s">
        <v>7</v>
      </c>
      <c r="F2" s="6">
        <v>0.1</v>
      </c>
    </row>
    <row r="3" spans="1:6" x14ac:dyDescent="0.35">
      <c r="A3" t="str">
        <f t="shared" ref="A3:A65" si="0">+C3&amp; " | " &amp;E3</f>
        <v>Lundin GOLD | ESTANCIA GUAÑIZUIL</v>
      </c>
      <c r="B3" t="s">
        <v>4</v>
      </c>
      <c r="C3" t="s">
        <v>5</v>
      </c>
      <c r="D3" t="s">
        <v>6</v>
      </c>
      <c r="E3" t="s">
        <v>8</v>
      </c>
      <c r="F3" s="6">
        <v>0.1</v>
      </c>
    </row>
    <row r="4" spans="1:6" x14ac:dyDescent="0.35">
      <c r="A4" t="str">
        <f t="shared" si="0"/>
        <v>Lundin GOLD | JOSE MARÍA</v>
      </c>
      <c r="B4" t="s">
        <v>4</v>
      </c>
      <c r="C4" t="s">
        <v>5</v>
      </c>
      <c r="D4" t="s">
        <v>6</v>
      </c>
      <c r="E4" t="s">
        <v>9</v>
      </c>
      <c r="F4" s="6">
        <v>0.1</v>
      </c>
    </row>
    <row r="5" spans="1:6" x14ac:dyDescent="0.35">
      <c r="A5" t="str">
        <f t="shared" si="0"/>
        <v xml:space="preserve">Vestas | Vestas - El Llano </v>
      </c>
      <c r="B5" t="s">
        <v>10</v>
      </c>
      <c r="C5" t="s">
        <v>11</v>
      </c>
      <c r="D5" t="s">
        <v>12</v>
      </c>
      <c r="E5" t="s">
        <v>13</v>
      </c>
      <c r="F5" s="6">
        <v>0.1</v>
      </c>
    </row>
    <row r="6" spans="1:6" x14ac:dyDescent="0.35">
      <c r="A6" t="str">
        <f t="shared" si="0"/>
        <v>Vestas | Vestas - La Elbita</v>
      </c>
      <c r="B6" t="s">
        <v>10</v>
      </c>
      <c r="C6" t="s">
        <v>11</v>
      </c>
      <c r="D6" t="s">
        <v>12</v>
      </c>
      <c r="E6" t="s">
        <v>14</v>
      </c>
      <c r="F6" s="6">
        <v>0.1</v>
      </c>
    </row>
    <row r="7" spans="1:6" x14ac:dyDescent="0.35">
      <c r="A7" t="str">
        <f t="shared" si="0"/>
        <v>PLUSPETROL SA | PLUSPETROL SA</v>
      </c>
      <c r="B7" t="s">
        <v>15</v>
      </c>
      <c r="C7" t="s">
        <v>16</v>
      </c>
      <c r="D7" t="s">
        <v>17</v>
      </c>
      <c r="E7" t="s">
        <v>16</v>
      </c>
      <c r="F7" s="6">
        <v>5</v>
      </c>
    </row>
    <row r="8" spans="1:6" x14ac:dyDescent="0.35">
      <c r="A8" t="str">
        <f t="shared" si="0"/>
        <v>CAPEX | LA YESERA</v>
      </c>
      <c r="B8" t="s">
        <v>15</v>
      </c>
      <c r="C8" t="s">
        <v>18</v>
      </c>
      <c r="D8" t="s">
        <v>19</v>
      </c>
      <c r="E8" t="s">
        <v>20</v>
      </c>
      <c r="F8" s="6">
        <v>0.1</v>
      </c>
    </row>
    <row r="9" spans="1:6" x14ac:dyDescent="0.35">
      <c r="A9" t="str">
        <f t="shared" si="0"/>
        <v>CAPEX | LOMA NEGRA</v>
      </c>
      <c r="B9" t="s">
        <v>15</v>
      </c>
      <c r="C9" t="s">
        <v>18</v>
      </c>
      <c r="D9" t="s">
        <v>19</v>
      </c>
      <c r="E9" t="s">
        <v>21</v>
      </c>
      <c r="F9" s="6">
        <v>0.1</v>
      </c>
    </row>
    <row r="10" spans="1:6" x14ac:dyDescent="0.35">
      <c r="A10" t="str">
        <f t="shared" si="0"/>
        <v>CAPEX | CAPEX - Aguada del Cajon</v>
      </c>
      <c r="B10" t="s">
        <v>15</v>
      </c>
      <c r="C10" t="s">
        <v>18</v>
      </c>
      <c r="D10" t="s">
        <v>19</v>
      </c>
      <c r="E10" t="s">
        <v>22</v>
      </c>
      <c r="F10" s="6">
        <v>0.1</v>
      </c>
    </row>
    <row r="11" spans="1:6" x14ac:dyDescent="0.35">
      <c r="A11" t="str">
        <f t="shared" si="0"/>
        <v xml:space="preserve">Vista OIL | Médico asistencial </v>
      </c>
      <c r="B11" t="s">
        <v>15</v>
      </c>
      <c r="C11" t="s">
        <v>23</v>
      </c>
      <c r="D11" t="s">
        <v>19</v>
      </c>
      <c r="E11" t="s">
        <v>24</v>
      </c>
      <c r="F11" s="6">
        <v>0.1</v>
      </c>
    </row>
    <row r="12" spans="1:6" x14ac:dyDescent="0.35">
      <c r="A12" t="str">
        <f t="shared" si="0"/>
        <v>Vista OIL | Vista Oil - Yac. Bajada del Palo y Aguila Mora</v>
      </c>
      <c r="B12" t="s">
        <v>15</v>
      </c>
      <c r="C12" t="s">
        <v>23</v>
      </c>
      <c r="D12" t="s">
        <v>19</v>
      </c>
      <c r="E12" t="s">
        <v>25</v>
      </c>
      <c r="F12" s="6">
        <v>0.1</v>
      </c>
    </row>
    <row r="13" spans="1:6" x14ac:dyDescent="0.35">
      <c r="A13" t="str">
        <f t="shared" si="0"/>
        <v>Vista OIL | Vista Oil - Yac. Entre Lomas</v>
      </c>
      <c r="B13" t="s">
        <v>15</v>
      </c>
      <c r="C13" t="s">
        <v>23</v>
      </c>
      <c r="D13" t="s">
        <v>19</v>
      </c>
      <c r="E13" t="s">
        <v>26</v>
      </c>
      <c r="F13" s="6">
        <v>0.1</v>
      </c>
    </row>
    <row r="14" spans="1:6" x14ac:dyDescent="0.35">
      <c r="A14" t="str">
        <f t="shared" si="0"/>
        <v>Vista OIL | AJUSTES y BONOS 2022</v>
      </c>
      <c r="B14" t="s">
        <v>15</v>
      </c>
      <c r="C14" t="s">
        <v>23</v>
      </c>
      <c r="D14" t="s">
        <v>19</v>
      </c>
      <c r="E14" t="s">
        <v>27</v>
      </c>
      <c r="F14" s="6">
        <v>0.1</v>
      </c>
    </row>
    <row r="15" spans="1:6" x14ac:dyDescent="0.35">
      <c r="A15" t="str">
        <f t="shared" si="0"/>
        <v>Vista OIL | EVENTUALES - Enfermero simple</v>
      </c>
      <c r="B15" t="s">
        <v>15</v>
      </c>
      <c r="C15" t="s">
        <v>23</v>
      </c>
      <c r="D15" t="s">
        <v>28</v>
      </c>
      <c r="E15" t="s">
        <v>29</v>
      </c>
      <c r="F15" s="6">
        <v>0.1</v>
      </c>
    </row>
    <row r="16" spans="1:6" x14ac:dyDescent="0.35">
      <c r="A16" t="str">
        <f t="shared" si="0"/>
        <v>YPF | YPF - Área Protegida - OPESSA</v>
      </c>
      <c r="B16" t="s">
        <v>15</v>
      </c>
      <c r="C16" t="s">
        <v>30</v>
      </c>
      <c r="D16" t="s">
        <v>17</v>
      </c>
      <c r="E16" t="s">
        <v>31</v>
      </c>
      <c r="F16" s="6">
        <v>0.1</v>
      </c>
    </row>
    <row r="17" spans="1:6" x14ac:dyDescent="0.35">
      <c r="A17" t="str">
        <f t="shared" si="0"/>
        <v>YPF | YPF - Área Protegida - YPF GAS</v>
      </c>
      <c r="B17" t="s">
        <v>15</v>
      </c>
      <c r="C17" t="s">
        <v>30</v>
      </c>
      <c r="D17" t="s">
        <v>17</v>
      </c>
      <c r="E17" t="s">
        <v>32</v>
      </c>
      <c r="F17" s="6">
        <v>0.1</v>
      </c>
    </row>
    <row r="18" spans="1:6" x14ac:dyDescent="0.35">
      <c r="A18" t="str">
        <f t="shared" si="0"/>
        <v>YPF | EVENTUALES</v>
      </c>
      <c r="B18" t="s">
        <v>15</v>
      </c>
      <c r="C18" t="s">
        <v>30</v>
      </c>
      <c r="D18" t="s">
        <v>28</v>
      </c>
      <c r="E18" t="s">
        <v>33</v>
      </c>
      <c r="F18" s="6">
        <v>0.1</v>
      </c>
    </row>
    <row r="19" spans="1:6" x14ac:dyDescent="0.35">
      <c r="A19" t="str">
        <f t="shared" si="0"/>
        <v>YPF | MEDICAMENTOS</v>
      </c>
      <c r="B19" t="s">
        <v>15</v>
      </c>
      <c r="C19" t="s">
        <v>30</v>
      </c>
      <c r="D19" t="s">
        <v>34</v>
      </c>
      <c r="E19" t="s">
        <v>34</v>
      </c>
      <c r="F19" s="6">
        <v>0.1</v>
      </c>
    </row>
    <row r="20" spans="1:6" x14ac:dyDescent="0.35">
      <c r="A20" t="str">
        <f t="shared" si="0"/>
        <v>YPF | YPF - Área Protegida - YPF</v>
      </c>
      <c r="B20" t="s">
        <v>15</v>
      </c>
      <c r="C20" t="s">
        <v>30</v>
      </c>
      <c r="D20" t="s">
        <v>17</v>
      </c>
      <c r="E20" t="s">
        <v>35</v>
      </c>
      <c r="F20" s="6">
        <v>0.1</v>
      </c>
    </row>
    <row r="21" spans="1:6" x14ac:dyDescent="0.35">
      <c r="A21" t="str">
        <f t="shared" si="0"/>
        <v>YPF | YPF - DEAS</v>
      </c>
      <c r="B21" t="s">
        <v>15</v>
      </c>
      <c r="C21" t="s">
        <v>30</v>
      </c>
      <c r="D21" t="s">
        <v>36</v>
      </c>
      <c r="E21" t="s">
        <v>37</v>
      </c>
      <c r="F21" s="6">
        <v>0.1</v>
      </c>
    </row>
    <row r="22" spans="1:6" x14ac:dyDescent="0.35">
      <c r="A22" t="str">
        <f t="shared" si="0"/>
        <v>YPF | CHACHAUEN</v>
      </c>
      <c r="B22" t="s">
        <v>15</v>
      </c>
      <c r="C22" t="s">
        <v>30</v>
      </c>
      <c r="D22" t="s">
        <v>19</v>
      </c>
      <c r="E22" t="s">
        <v>38</v>
      </c>
      <c r="F22" s="6">
        <v>0.1</v>
      </c>
    </row>
    <row r="23" spans="1:6" x14ac:dyDescent="0.35">
      <c r="A23" t="str">
        <f t="shared" si="0"/>
        <v>YPF | EL PORTON</v>
      </c>
      <c r="B23" t="s">
        <v>15</v>
      </c>
      <c r="C23" t="s">
        <v>30</v>
      </c>
      <c r="D23" t="s">
        <v>19</v>
      </c>
      <c r="E23" t="s">
        <v>39</v>
      </c>
      <c r="F23" s="6">
        <v>0.1</v>
      </c>
    </row>
    <row r="24" spans="1:6" x14ac:dyDescent="0.35">
      <c r="A24" t="str">
        <f t="shared" si="0"/>
        <v>YPF | YPF - Puesto Molina</v>
      </c>
      <c r="B24" t="s">
        <v>15</v>
      </c>
      <c r="C24" t="s">
        <v>30</v>
      </c>
      <c r="D24" t="s">
        <v>19</v>
      </c>
      <c r="E24" t="s">
        <v>40</v>
      </c>
      <c r="F24" s="6">
        <v>0.1</v>
      </c>
    </row>
    <row r="25" spans="1:6" x14ac:dyDescent="0.35">
      <c r="A25" t="str">
        <f t="shared" si="0"/>
        <v>YPF | AJUSTE TARIFARIO C505274</v>
      </c>
      <c r="B25" t="s">
        <v>15</v>
      </c>
      <c r="C25" t="s">
        <v>30</v>
      </c>
      <c r="D25" t="s">
        <v>19</v>
      </c>
      <c r="E25" t="s">
        <v>41</v>
      </c>
      <c r="F25" s="6">
        <v>0.1</v>
      </c>
    </row>
    <row r="26" spans="1:6" x14ac:dyDescent="0.35">
      <c r="A26" t="str">
        <f t="shared" si="0"/>
        <v>CAPEX | CAPEX - Aguada del Cajon SRL</v>
      </c>
      <c r="B26" t="s">
        <v>15</v>
      </c>
      <c r="C26" t="s">
        <v>18</v>
      </c>
      <c r="D26" t="s">
        <v>19</v>
      </c>
      <c r="E26" t="s">
        <v>42</v>
      </c>
      <c r="F26" s="6">
        <v>0.1</v>
      </c>
    </row>
    <row r="27" spans="1:6" x14ac:dyDescent="0.35">
      <c r="A27" t="str">
        <f t="shared" si="0"/>
        <v>Total | TOTAL - Total Austral</v>
      </c>
      <c r="B27" t="s">
        <v>15</v>
      </c>
      <c r="C27" t="s">
        <v>43</v>
      </c>
      <c r="D27" t="s">
        <v>28</v>
      </c>
      <c r="E27" t="s">
        <v>44</v>
      </c>
      <c r="F27" s="6">
        <v>0.1</v>
      </c>
    </row>
    <row r="28" spans="1:6" x14ac:dyDescent="0.35">
      <c r="A28" t="str">
        <f t="shared" si="0"/>
        <v>YPF | YPF - Eventuales Z2 N</v>
      </c>
      <c r="B28" t="s">
        <v>15</v>
      </c>
      <c r="C28" t="s">
        <v>30</v>
      </c>
      <c r="D28" t="s">
        <v>28</v>
      </c>
      <c r="E28" t="s">
        <v>45</v>
      </c>
      <c r="F28" s="6">
        <v>0.1</v>
      </c>
    </row>
    <row r="29" spans="1:6" x14ac:dyDescent="0.35">
      <c r="A29" t="str">
        <f t="shared" si="0"/>
        <v>YPF | YPF - Eventuales Z3 N</v>
      </c>
      <c r="B29" t="s">
        <v>15</v>
      </c>
      <c r="C29" t="s">
        <v>30</v>
      </c>
      <c r="D29" t="s">
        <v>28</v>
      </c>
      <c r="E29" t="s">
        <v>46</v>
      </c>
      <c r="F29" s="6">
        <v>0.1</v>
      </c>
    </row>
    <row r="30" spans="1:6" x14ac:dyDescent="0.35">
      <c r="A30" t="str">
        <f t="shared" si="0"/>
        <v>YPF | YPF - Eventuales Z4 N</v>
      </c>
      <c r="B30" t="s">
        <v>15</v>
      </c>
      <c r="C30" t="s">
        <v>30</v>
      </c>
      <c r="D30" t="s">
        <v>19</v>
      </c>
      <c r="E30" t="s">
        <v>47</v>
      </c>
      <c r="F30" s="6">
        <v>0.1</v>
      </c>
    </row>
    <row r="31" spans="1:6" x14ac:dyDescent="0.35">
      <c r="A31" t="str">
        <f t="shared" si="0"/>
        <v>YPF | YPF - Yac. Fijos - Z2 N</v>
      </c>
      <c r="B31" t="s">
        <v>15</v>
      </c>
      <c r="C31" t="s">
        <v>30</v>
      </c>
      <c r="D31" t="s">
        <v>28</v>
      </c>
      <c r="E31" t="s">
        <v>48</v>
      </c>
      <c r="F31" s="6">
        <v>0.1</v>
      </c>
    </row>
    <row r="32" spans="1:6" x14ac:dyDescent="0.35">
      <c r="A32" t="str">
        <f t="shared" si="0"/>
        <v>YPF | YPF - Yac. Fijos - Z3 N</v>
      </c>
      <c r="B32" t="s">
        <v>15</v>
      </c>
      <c r="C32" t="s">
        <v>30</v>
      </c>
      <c r="D32" t="s">
        <v>19</v>
      </c>
      <c r="E32" t="s">
        <v>49</v>
      </c>
      <c r="F32" s="6">
        <v>0.1</v>
      </c>
    </row>
    <row r="33" spans="1:6" x14ac:dyDescent="0.35">
      <c r="A33" t="str">
        <f t="shared" si="0"/>
        <v>YPF | YPF - Yac. Fijos - Z4 N</v>
      </c>
      <c r="B33" t="s">
        <v>15</v>
      </c>
      <c r="C33" t="s">
        <v>30</v>
      </c>
      <c r="D33" t="s">
        <v>19</v>
      </c>
      <c r="E33" t="s">
        <v>50</v>
      </c>
      <c r="F33" s="6">
        <v>0.1</v>
      </c>
    </row>
    <row r="34" spans="1:6" x14ac:dyDescent="0.35">
      <c r="A34" t="str">
        <f t="shared" si="0"/>
        <v>YPF | YPF - Eventuales Z3 P</v>
      </c>
      <c r="B34" t="s">
        <v>15</v>
      </c>
      <c r="C34" t="s">
        <v>30</v>
      </c>
      <c r="D34" t="s">
        <v>19</v>
      </c>
      <c r="E34" t="s">
        <v>51</v>
      </c>
      <c r="F34" s="6">
        <v>0.1</v>
      </c>
    </row>
    <row r="35" spans="1:6" x14ac:dyDescent="0.35">
      <c r="A35" t="str">
        <f t="shared" si="0"/>
        <v>YPF | YPF - Eventuales Z4 P</v>
      </c>
      <c r="B35" t="s">
        <v>15</v>
      </c>
      <c r="C35" t="s">
        <v>30</v>
      </c>
      <c r="D35" t="s">
        <v>28</v>
      </c>
      <c r="E35" t="s">
        <v>52</v>
      </c>
      <c r="F35" s="6">
        <v>0.1</v>
      </c>
    </row>
    <row r="36" spans="1:6" x14ac:dyDescent="0.35">
      <c r="A36" t="str">
        <f t="shared" si="0"/>
        <v>YPF | YPF - Yac. Fijos - Z2 P</v>
      </c>
      <c r="B36" t="s">
        <v>15</v>
      </c>
      <c r="C36" t="s">
        <v>30</v>
      </c>
      <c r="D36" t="s">
        <v>19</v>
      </c>
      <c r="E36" t="s">
        <v>53</v>
      </c>
      <c r="F36" s="6">
        <v>0.1</v>
      </c>
    </row>
    <row r="37" spans="1:6" x14ac:dyDescent="0.35">
      <c r="A37" t="str">
        <f t="shared" si="0"/>
        <v>YPF | YPF - Yac. Fijos - Z4 P</v>
      </c>
      <c r="B37" t="s">
        <v>15</v>
      </c>
      <c r="C37" t="s">
        <v>30</v>
      </c>
      <c r="D37" t="s">
        <v>19</v>
      </c>
      <c r="E37" t="s">
        <v>54</v>
      </c>
      <c r="F37" s="6">
        <v>0.1</v>
      </c>
    </row>
    <row r="38" spans="1:6" x14ac:dyDescent="0.35">
      <c r="A38" t="str">
        <f t="shared" si="0"/>
        <v>YPF | YPF - Minería</v>
      </c>
      <c r="B38" t="s">
        <v>15</v>
      </c>
      <c r="C38" t="s">
        <v>30</v>
      </c>
      <c r="D38" t="s">
        <v>28</v>
      </c>
      <c r="E38" t="s">
        <v>55</v>
      </c>
      <c r="F38" s="6">
        <v>0.1</v>
      </c>
    </row>
    <row r="39" spans="1:6" x14ac:dyDescent="0.35">
      <c r="A39" t="str">
        <f t="shared" si="0"/>
        <v>YPF | AJUSTE TARIFARIO C505258</v>
      </c>
      <c r="B39" t="s">
        <v>15</v>
      </c>
      <c r="C39" t="s">
        <v>30</v>
      </c>
      <c r="D39" t="s">
        <v>19</v>
      </c>
      <c r="E39" t="s">
        <v>56</v>
      </c>
      <c r="F39" s="6">
        <v>0.1</v>
      </c>
    </row>
    <row r="40" spans="1:6" x14ac:dyDescent="0.35">
      <c r="A40" t="str">
        <f t="shared" si="0"/>
        <v xml:space="preserve">YPF REGIÓN 1  Urg y Emer  | YPF REGIÓN 1  Urg y Emer </v>
      </c>
      <c r="B40" t="s">
        <v>15</v>
      </c>
      <c r="C40" t="s">
        <v>57</v>
      </c>
      <c r="D40" t="s">
        <v>19</v>
      </c>
      <c r="E40" t="s">
        <v>57</v>
      </c>
      <c r="F40" s="6">
        <v>0.1</v>
      </c>
    </row>
    <row r="41" spans="1:6" x14ac:dyDescent="0.35">
      <c r="A41" t="str">
        <f t="shared" si="0"/>
        <v>Ganfeng | PPG</v>
      </c>
      <c r="B41" t="s">
        <v>4</v>
      </c>
      <c r="C41" t="s">
        <v>58</v>
      </c>
      <c r="D41" t="s">
        <v>6</v>
      </c>
      <c r="E41" t="s">
        <v>59</v>
      </c>
      <c r="F41" s="6">
        <v>0.1</v>
      </c>
    </row>
    <row r="42" spans="1:6" x14ac:dyDescent="0.35">
      <c r="A42" t="str">
        <f t="shared" si="0"/>
        <v>Petróleo - Área Protegida | Petróleo - Área Protegida</v>
      </c>
      <c r="B42" t="s">
        <v>15</v>
      </c>
      <c r="C42" t="s">
        <v>60</v>
      </c>
      <c r="D42" t="s">
        <v>17</v>
      </c>
      <c r="E42" t="s">
        <v>60</v>
      </c>
      <c r="F42" s="6">
        <v>0.1</v>
      </c>
    </row>
    <row r="43" spans="1:6" x14ac:dyDescent="0.35">
      <c r="A43" t="str">
        <f t="shared" si="0"/>
        <v>Petróleo - DEA | Petróleo - DEA</v>
      </c>
      <c r="B43" t="s">
        <v>15</v>
      </c>
      <c r="C43" t="s">
        <v>61</v>
      </c>
      <c r="D43" t="s">
        <v>36</v>
      </c>
      <c r="E43" t="s">
        <v>61</v>
      </c>
      <c r="F43" s="6">
        <v>0.1</v>
      </c>
    </row>
    <row r="44" spans="1:6" x14ac:dyDescent="0.35">
      <c r="A44" t="str">
        <f t="shared" si="0"/>
        <v>Lundin GOLD | Don peter</v>
      </c>
      <c r="B44" t="s">
        <v>4</v>
      </c>
      <c r="C44" t="s">
        <v>5</v>
      </c>
      <c r="D44" t="s">
        <v>6</v>
      </c>
      <c r="E44" t="s">
        <v>62</v>
      </c>
      <c r="F44" s="6">
        <v>0.1</v>
      </c>
    </row>
    <row r="45" spans="1:6" x14ac:dyDescent="0.35">
      <c r="A45" t="str">
        <f t="shared" si="0"/>
        <v>SACDE | SACDE - Techint</v>
      </c>
      <c r="B45" t="s">
        <v>10</v>
      </c>
      <c r="C45" t="s">
        <v>63</v>
      </c>
      <c r="D45" t="s">
        <v>17</v>
      </c>
      <c r="E45" t="s">
        <v>64</v>
      </c>
      <c r="F45" s="6">
        <v>0.1</v>
      </c>
    </row>
    <row r="46" spans="1:6" x14ac:dyDescent="0.35">
      <c r="A46" t="str">
        <f t="shared" si="0"/>
        <v>AGV- Servicios Mineros | Proyecto Tren Belgrano</v>
      </c>
      <c r="B46" t="s">
        <v>4</v>
      </c>
      <c r="C46" t="s">
        <v>65</v>
      </c>
      <c r="D46" t="s">
        <v>17</v>
      </c>
      <c r="E46" t="s">
        <v>66</v>
      </c>
      <c r="F46" s="6">
        <v>0.1</v>
      </c>
    </row>
    <row r="47" spans="1:6" x14ac:dyDescent="0.35">
      <c r="A47" t="str">
        <f t="shared" si="0"/>
        <v>Petróleo - Eventos | Petróleo - Eventos</v>
      </c>
      <c r="B47" t="s">
        <v>15</v>
      </c>
      <c r="C47" t="s">
        <v>67</v>
      </c>
      <c r="D47" t="s">
        <v>36</v>
      </c>
      <c r="E47" t="s">
        <v>67</v>
      </c>
      <c r="F47" s="6">
        <v>0.1</v>
      </c>
    </row>
    <row r="48" spans="1:6" x14ac:dyDescent="0.35">
      <c r="A48" t="str">
        <f t="shared" si="0"/>
        <v>ACONCAGUA | ACONCAGUA</v>
      </c>
      <c r="B48" t="s">
        <v>15</v>
      </c>
      <c r="C48" t="s">
        <v>68</v>
      </c>
      <c r="D48" t="s">
        <v>19</v>
      </c>
      <c r="E48" t="s">
        <v>68</v>
      </c>
      <c r="F48" s="6">
        <v>0.1</v>
      </c>
    </row>
    <row r="49" spans="1:6" x14ac:dyDescent="0.35">
      <c r="A49" t="str">
        <f t="shared" si="0"/>
        <v>Oilfield &amp; Production Services srl | Oilfield &amp; Production Services srl</v>
      </c>
      <c r="B49" t="s">
        <v>15</v>
      </c>
      <c r="C49" t="s">
        <v>69</v>
      </c>
      <c r="D49" t="s">
        <v>19</v>
      </c>
      <c r="E49" t="s">
        <v>69</v>
      </c>
      <c r="F49" s="6">
        <v>0.1</v>
      </c>
    </row>
    <row r="50" spans="1:6" x14ac:dyDescent="0.35">
      <c r="A50" t="str">
        <f t="shared" si="0"/>
        <v>Glencore | Glencore El pachon</v>
      </c>
      <c r="B50" t="s">
        <v>4</v>
      </c>
      <c r="C50" t="s">
        <v>70</v>
      </c>
      <c r="D50" t="s">
        <v>19</v>
      </c>
      <c r="E50" t="s">
        <v>71</v>
      </c>
      <c r="F50" s="6">
        <v>0.1</v>
      </c>
    </row>
    <row r="51" spans="1:6" x14ac:dyDescent="0.35">
      <c r="A51" t="str">
        <f t="shared" si="0"/>
        <v>SESA | Arizaro</v>
      </c>
      <c r="B51" t="s">
        <v>4</v>
      </c>
      <c r="C51" t="s">
        <v>72</v>
      </c>
      <c r="D51" t="s">
        <v>19</v>
      </c>
      <c r="E51" t="s">
        <v>73</v>
      </c>
      <c r="F51" s="6">
        <v>0.1</v>
      </c>
    </row>
    <row r="52" spans="1:6" x14ac:dyDescent="0.35">
      <c r="A52" t="str">
        <f t="shared" si="0"/>
        <v xml:space="preserve">YPF PSICOSOCIAL  | YPF PSICOSOCIAL </v>
      </c>
      <c r="B52" t="s">
        <v>15</v>
      </c>
      <c r="C52" t="s">
        <v>74</v>
      </c>
      <c r="D52" t="s">
        <v>19</v>
      </c>
      <c r="E52" t="s">
        <v>74</v>
      </c>
      <c r="F52" s="6">
        <v>0.1</v>
      </c>
    </row>
    <row r="53" spans="1:6" x14ac:dyDescent="0.35">
      <c r="A53" t="str">
        <f t="shared" si="0"/>
        <v xml:space="preserve">Vestas | Vestas - Wayra - Pepe VI </v>
      </c>
      <c r="B53" t="s">
        <v>10</v>
      </c>
      <c r="C53" t="s">
        <v>11</v>
      </c>
      <c r="D53" t="s">
        <v>12</v>
      </c>
      <c r="E53" t="s">
        <v>75</v>
      </c>
      <c r="F53" s="6">
        <v>0.1</v>
      </c>
    </row>
    <row r="54" spans="1:6" x14ac:dyDescent="0.35">
      <c r="A54" t="str">
        <f t="shared" si="0"/>
        <v>Ganfeng | Mariana</v>
      </c>
      <c r="B54" t="s">
        <v>4</v>
      </c>
      <c r="C54" t="s">
        <v>58</v>
      </c>
      <c r="D54" t="s">
        <v>6</v>
      </c>
      <c r="E54" t="s">
        <v>76</v>
      </c>
      <c r="F54" s="6">
        <v>0.1</v>
      </c>
    </row>
    <row r="55" spans="1:6" x14ac:dyDescent="0.35">
      <c r="A55" t="str">
        <f t="shared" si="0"/>
        <v>SACDE | SACDE - Gasoducto TGS C.Ordoqui</v>
      </c>
      <c r="B55" t="s">
        <v>10</v>
      </c>
      <c r="C55" t="s">
        <v>63</v>
      </c>
      <c r="D55" t="s">
        <v>17</v>
      </c>
      <c r="E55" t="s">
        <v>77</v>
      </c>
      <c r="F55" s="6">
        <v>0.1</v>
      </c>
    </row>
    <row r="56" spans="1:6" x14ac:dyDescent="0.35">
      <c r="A56" t="str">
        <f t="shared" si="0"/>
        <v>SACDE | SACDE - Cordoba</v>
      </c>
      <c r="B56" t="s">
        <v>10</v>
      </c>
      <c r="C56" t="s">
        <v>63</v>
      </c>
      <c r="D56" t="s">
        <v>17</v>
      </c>
      <c r="E56" t="s">
        <v>78</v>
      </c>
      <c r="F56" s="6">
        <v>0.1</v>
      </c>
    </row>
    <row r="57" spans="1:6" x14ac:dyDescent="0.35">
      <c r="A57" t="str">
        <f t="shared" si="0"/>
        <v xml:space="preserve">HANAQ | HANAQ - Salta - Proyecto Doncella </v>
      </c>
      <c r="B57" t="s">
        <v>4</v>
      </c>
      <c r="C57" t="s">
        <v>79</v>
      </c>
      <c r="D57" t="s">
        <v>17</v>
      </c>
      <c r="E57" t="s">
        <v>80</v>
      </c>
      <c r="F57" s="6">
        <v>0.1</v>
      </c>
    </row>
    <row r="58" spans="1:6" x14ac:dyDescent="0.35">
      <c r="A58" t="str">
        <f t="shared" si="0"/>
        <v>MILICIC | Proyecto VMOC</v>
      </c>
      <c r="B58" t="s">
        <v>15</v>
      </c>
      <c r="C58" t="s">
        <v>81</v>
      </c>
      <c r="D58">
        <v>0</v>
      </c>
      <c r="E58" t="s">
        <v>82</v>
      </c>
      <c r="F58" s="6">
        <v>0.1</v>
      </c>
    </row>
    <row r="59" spans="1:6" x14ac:dyDescent="0.35">
      <c r="A59" t="str">
        <f t="shared" si="0"/>
        <v>Ganfeng | Guemes</v>
      </c>
      <c r="B59" t="s">
        <v>4</v>
      </c>
      <c r="C59" t="s">
        <v>58</v>
      </c>
      <c r="D59" t="s">
        <v>6</v>
      </c>
      <c r="E59" t="s">
        <v>83</v>
      </c>
      <c r="F59" s="6">
        <v>0.1</v>
      </c>
    </row>
    <row r="60" spans="1:6" x14ac:dyDescent="0.35">
      <c r="A60" t="str">
        <f t="shared" si="0"/>
        <v>Vestas | Vestas - La Rinconada</v>
      </c>
      <c r="B60" t="s">
        <v>10</v>
      </c>
      <c r="C60" t="s">
        <v>11</v>
      </c>
      <c r="D60" t="s">
        <v>12</v>
      </c>
      <c r="E60" t="s">
        <v>84</v>
      </c>
      <c r="F60" s="6">
        <v>0.1</v>
      </c>
    </row>
    <row r="61" spans="1:6" x14ac:dyDescent="0.35">
      <c r="A61" t="str">
        <f t="shared" si="0"/>
        <v>PECOM | PECOM</v>
      </c>
      <c r="B61" t="s">
        <v>10</v>
      </c>
      <c r="C61" t="s">
        <v>85</v>
      </c>
      <c r="D61" t="s">
        <v>17</v>
      </c>
      <c r="E61" t="s">
        <v>85</v>
      </c>
      <c r="F61" s="6">
        <v>0.1</v>
      </c>
    </row>
    <row r="62" spans="1:6" x14ac:dyDescent="0.35">
      <c r="A62" t="str">
        <f t="shared" si="0"/>
        <v>Glencore | Glencore - Mina Mara</v>
      </c>
      <c r="B62" t="s">
        <v>4</v>
      </c>
      <c r="C62" t="s">
        <v>70</v>
      </c>
      <c r="D62" t="s">
        <v>19</v>
      </c>
      <c r="E62" t="s">
        <v>86</v>
      </c>
      <c r="F62" s="6">
        <v>0.1</v>
      </c>
    </row>
    <row r="63" spans="1:6" x14ac:dyDescent="0.35">
      <c r="A63" t="str">
        <f t="shared" si="0"/>
        <v>Minera Arg del SUD | Minera Arg del SUD</v>
      </c>
      <c r="B63" t="s">
        <v>4</v>
      </c>
      <c r="C63" t="s">
        <v>87</v>
      </c>
      <c r="D63" t="s">
        <v>19</v>
      </c>
      <c r="E63" t="s">
        <v>87</v>
      </c>
      <c r="F63" s="6">
        <v>0.1</v>
      </c>
    </row>
    <row r="64" spans="1:6" x14ac:dyDescent="0.35">
      <c r="A64" t="str">
        <f t="shared" si="0"/>
        <v>GWK Mineral  | Proyecto del Toro</v>
      </c>
      <c r="B64" t="s">
        <v>4</v>
      </c>
      <c r="C64" t="s">
        <v>88</v>
      </c>
      <c r="D64" t="s">
        <v>19</v>
      </c>
      <c r="E64" t="s">
        <v>89</v>
      </c>
      <c r="F64" s="6">
        <v>0.1</v>
      </c>
    </row>
    <row r="65" spans="1:6" x14ac:dyDescent="0.35">
      <c r="A65" t="str">
        <f t="shared" si="0"/>
        <v>SALES DE JUJUY | Sales de Jujuy</v>
      </c>
      <c r="B65" t="s">
        <v>4</v>
      </c>
      <c r="C65" t="s">
        <v>90</v>
      </c>
      <c r="D65" t="s">
        <v>19</v>
      </c>
      <c r="E65" t="s">
        <v>91</v>
      </c>
      <c r="F65" s="6">
        <v>0.1</v>
      </c>
    </row>
    <row r="66" spans="1:6" x14ac:dyDescent="0.35">
      <c r="A66" t="str">
        <f t="shared" ref="A66:A105" si="1">+C66&amp; " | " &amp;E66</f>
        <v>Proyecto La Coipita | Proyecto La Coipita</v>
      </c>
      <c r="B66" t="s">
        <v>4</v>
      </c>
      <c r="C66" t="s">
        <v>92</v>
      </c>
      <c r="D66">
        <v>0</v>
      </c>
      <c r="E66" t="s">
        <v>92</v>
      </c>
      <c r="F66" s="6">
        <v>0.1</v>
      </c>
    </row>
    <row r="67" spans="1:6" x14ac:dyDescent="0.35">
      <c r="A67" t="str">
        <f t="shared" si="1"/>
        <v xml:space="preserve">PAMPA ENERGÍA  | PAMPA ENERGÍA - Buenos Aires </v>
      </c>
      <c r="B67" t="s">
        <v>15</v>
      </c>
      <c r="C67" t="s">
        <v>93</v>
      </c>
      <c r="D67" t="s">
        <v>6</v>
      </c>
      <c r="E67" t="s">
        <v>94</v>
      </c>
      <c r="F67" s="6">
        <v>0.1</v>
      </c>
    </row>
    <row r="68" spans="1:6" x14ac:dyDescent="0.35">
      <c r="A68" t="str">
        <f t="shared" si="1"/>
        <v>GeoPark | GeoPark</v>
      </c>
      <c r="B68" t="s">
        <v>15</v>
      </c>
      <c r="C68" t="s">
        <v>95</v>
      </c>
      <c r="D68">
        <v>0</v>
      </c>
      <c r="E68" t="s">
        <v>95</v>
      </c>
      <c r="F68" s="6">
        <v>0.1</v>
      </c>
    </row>
    <row r="69" spans="1:6" x14ac:dyDescent="0.35">
      <c r="A69" t="str">
        <f t="shared" si="1"/>
        <v>HANAQ | HANAQ - La Rioja  - Caballos</v>
      </c>
      <c r="B69" t="s">
        <v>4</v>
      </c>
      <c r="C69" t="s">
        <v>79</v>
      </c>
      <c r="D69" t="s">
        <v>17</v>
      </c>
      <c r="E69" t="s">
        <v>96</v>
      </c>
      <c r="F69" s="6">
        <v>0.1</v>
      </c>
    </row>
    <row r="70" spans="1:6" x14ac:dyDescent="0.35">
      <c r="A70" t="str">
        <f t="shared" si="1"/>
        <v xml:space="preserve">HANAQ | HANAQ - Jujuy - Providencia </v>
      </c>
      <c r="B70" t="s">
        <v>4</v>
      </c>
      <c r="C70" t="s">
        <v>79</v>
      </c>
      <c r="D70" t="s">
        <v>17</v>
      </c>
      <c r="E70" t="s">
        <v>97</v>
      </c>
      <c r="F70" s="6">
        <v>0.1</v>
      </c>
    </row>
    <row r="71" spans="1:6" x14ac:dyDescent="0.35">
      <c r="A71" t="str">
        <f t="shared" si="1"/>
        <v>Lundin GOLD | JOSE MARÍA USD</v>
      </c>
      <c r="B71" t="s">
        <v>4</v>
      </c>
      <c r="C71" t="s">
        <v>5</v>
      </c>
      <c r="D71" t="s">
        <v>6</v>
      </c>
      <c r="E71" t="s">
        <v>98</v>
      </c>
      <c r="F71" s="6">
        <v>0.1</v>
      </c>
    </row>
    <row r="72" spans="1:6" x14ac:dyDescent="0.35">
      <c r="A72" t="str">
        <f t="shared" si="1"/>
        <v>NORDEX | NORDEX</v>
      </c>
      <c r="B72" t="s">
        <v>10</v>
      </c>
      <c r="C72" t="s">
        <v>99</v>
      </c>
      <c r="D72">
        <v>0</v>
      </c>
      <c r="E72" t="s">
        <v>99</v>
      </c>
      <c r="F72" s="6">
        <v>0.1</v>
      </c>
    </row>
    <row r="73" spans="1:6" x14ac:dyDescent="0.35">
      <c r="A73" t="str">
        <f t="shared" si="1"/>
        <v>PAMPA ENERGÍA  | PAMPA ENERGÍA - Neuquen LLL</v>
      </c>
      <c r="B73" t="s">
        <v>15</v>
      </c>
      <c r="C73" t="s">
        <v>93</v>
      </c>
      <c r="D73" t="s">
        <v>6</v>
      </c>
      <c r="E73" t="s">
        <v>100</v>
      </c>
      <c r="F73" s="6">
        <v>0.1</v>
      </c>
    </row>
    <row r="74" spans="1:6" x14ac:dyDescent="0.35">
      <c r="A74" t="str">
        <f t="shared" si="1"/>
        <v>REFIPAMPA | REFIPAMPA</v>
      </c>
      <c r="B74" t="s">
        <v>15</v>
      </c>
      <c r="C74" t="s">
        <v>101</v>
      </c>
      <c r="D74">
        <v>0</v>
      </c>
      <c r="E74" t="s">
        <v>101</v>
      </c>
      <c r="F74" s="6">
        <v>0.1</v>
      </c>
    </row>
    <row r="75" spans="1:6" x14ac:dyDescent="0.35">
      <c r="A75" t="str">
        <f t="shared" si="1"/>
        <v>SACDE | SACDE - Mangrullo</v>
      </c>
      <c r="B75" t="s">
        <v>10</v>
      </c>
      <c r="C75" t="s">
        <v>63</v>
      </c>
      <c r="D75" t="s">
        <v>17</v>
      </c>
      <c r="E75" t="s">
        <v>102</v>
      </c>
      <c r="F75" s="6">
        <v>0.1</v>
      </c>
    </row>
    <row r="76" spans="1:6" x14ac:dyDescent="0.35">
      <c r="A76" t="str">
        <f t="shared" si="1"/>
        <v xml:space="preserve">SACDE | SACDE - Sauce Viejo </v>
      </c>
      <c r="B76" t="s">
        <v>10</v>
      </c>
      <c r="C76" t="s">
        <v>63</v>
      </c>
      <c r="D76" t="s">
        <v>17</v>
      </c>
      <c r="E76" t="s">
        <v>103</v>
      </c>
      <c r="F76" s="6">
        <v>0.1</v>
      </c>
    </row>
    <row r="77" spans="1:6" x14ac:dyDescent="0.35">
      <c r="A77" t="str">
        <f t="shared" si="1"/>
        <v>SESA | Proyecto Diablillos</v>
      </c>
      <c r="B77" t="s">
        <v>4</v>
      </c>
      <c r="C77" t="s">
        <v>72</v>
      </c>
      <c r="D77" t="s">
        <v>19</v>
      </c>
      <c r="E77" t="s">
        <v>104</v>
      </c>
      <c r="F77" s="6">
        <v>0.1</v>
      </c>
    </row>
    <row r="78" spans="1:6" x14ac:dyDescent="0.35">
      <c r="A78" t="str">
        <f t="shared" si="1"/>
        <v xml:space="preserve">INTEGRA  | INTEGRA </v>
      </c>
      <c r="B78" t="s">
        <v>10</v>
      </c>
      <c r="C78" t="s">
        <v>105</v>
      </c>
      <c r="D78">
        <v>0</v>
      </c>
      <c r="E78" t="s">
        <v>105</v>
      </c>
      <c r="F78" s="6">
        <v>0.1</v>
      </c>
    </row>
    <row r="79" spans="1:6" x14ac:dyDescent="0.35">
      <c r="A79" t="str">
        <f t="shared" si="1"/>
        <v>EPEN | Obras Infraestructura EPEN</v>
      </c>
      <c r="B79" t="s">
        <v>10</v>
      </c>
      <c r="C79" t="s">
        <v>106</v>
      </c>
      <c r="D79">
        <v>0</v>
      </c>
      <c r="E79" t="s">
        <v>107</v>
      </c>
      <c r="F79" s="6">
        <v>0.1</v>
      </c>
    </row>
    <row r="80" spans="1:6" x14ac:dyDescent="0.35">
      <c r="A80" t="str">
        <f t="shared" si="1"/>
        <v xml:space="preserve">TGS | TGS - Río Salado </v>
      </c>
      <c r="B80" t="s">
        <v>10</v>
      </c>
      <c r="C80" t="s">
        <v>108</v>
      </c>
      <c r="D80">
        <v>0</v>
      </c>
      <c r="E80" t="s">
        <v>109</v>
      </c>
      <c r="F80" s="6">
        <v>0.1</v>
      </c>
    </row>
    <row r="81" spans="1:6" x14ac:dyDescent="0.35">
      <c r="A81" t="str">
        <f t="shared" si="1"/>
        <v xml:space="preserve">YPF | YPF VMOS - Fijo </v>
      </c>
      <c r="B81" t="s">
        <v>15</v>
      </c>
      <c r="C81" t="s">
        <v>30</v>
      </c>
      <c r="D81" t="s">
        <v>28</v>
      </c>
      <c r="E81" t="s">
        <v>110</v>
      </c>
      <c r="F81" s="6">
        <v>0.1</v>
      </c>
    </row>
    <row r="82" spans="1:6" x14ac:dyDescent="0.35">
      <c r="A82" t="str">
        <f t="shared" si="1"/>
        <v>QUINTANA E&amp;P | EFO</v>
      </c>
      <c r="B82" t="s">
        <v>15</v>
      </c>
      <c r="C82" t="s">
        <v>111</v>
      </c>
      <c r="D82" t="s">
        <v>19</v>
      </c>
      <c r="E82" t="s">
        <v>112</v>
      </c>
      <c r="F82" s="6">
        <v>0.1</v>
      </c>
    </row>
    <row r="83" spans="1:6" x14ac:dyDescent="0.35">
      <c r="A83" t="str">
        <f t="shared" si="1"/>
        <v>GENNEIA | Parque Solar San Juan Sur</v>
      </c>
      <c r="B83" t="s">
        <v>10</v>
      </c>
      <c r="C83" t="s">
        <v>113</v>
      </c>
      <c r="D83" t="s">
        <v>19</v>
      </c>
      <c r="E83" t="s">
        <v>114</v>
      </c>
      <c r="F83" s="6">
        <v>0.1</v>
      </c>
    </row>
    <row r="84" spans="1:6" x14ac:dyDescent="0.35">
      <c r="A84" t="str">
        <f t="shared" si="1"/>
        <v xml:space="preserve">BENTIA  | US Fijas </v>
      </c>
      <c r="B84" t="s">
        <v>15</v>
      </c>
      <c r="C84" t="s">
        <v>115</v>
      </c>
      <c r="D84" t="s">
        <v>19</v>
      </c>
      <c r="E84" t="s">
        <v>116</v>
      </c>
      <c r="F84" s="6">
        <v>0.1</v>
      </c>
    </row>
    <row r="85" spans="1:6" x14ac:dyDescent="0.35">
      <c r="A85" t="str">
        <f t="shared" si="1"/>
        <v>YPF | YPF VMOS - Eventual día</v>
      </c>
      <c r="B85" t="s">
        <v>15</v>
      </c>
      <c r="C85" t="s">
        <v>30</v>
      </c>
      <c r="D85" t="s">
        <v>28</v>
      </c>
      <c r="E85" t="s">
        <v>117</v>
      </c>
      <c r="F85" s="6">
        <v>0.1</v>
      </c>
    </row>
    <row r="86" spans="1:6" x14ac:dyDescent="0.35">
      <c r="A86" t="str">
        <f t="shared" si="1"/>
        <v>YPF | YPF VMOS - Eventual noche</v>
      </c>
      <c r="B86" t="s">
        <v>15</v>
      </c>
      <c r="C86" t="s">
        <v>30</v>
      </c>
      <c r="D86" t="s">
        <v>28</v>
      </c>
      <c r="E86" t="s">
        <v>118</v>
      </c>
      <c r="F86" s="6">
        <v>0.1</v>
      </c>
    </row>
    <row r="87" spans="1:6" x14ac:dyDescent="0.35">
      <c r="A87" t="str">
        <f t="shared" si="1"/>
        <v>TECMACO | TECMACO</v>
      </c>
      <c r="B87" t="s">
        <v>10</v>
      </c>
      <c r="C87" t="s">
        <v>119</v>
      </c>
      <c r="D87" t="s">
        <v>28</v>
      </c>
      <c r="E87" t="s">
        <v>119</v>
      </c>
      <c r="F87" s="6">
        <v>0.1</v>
      </c>
    </row>
    <row r="88" spans="1:6" x14ac:dyDescent="0.35">
      <c r="A88" t="str">
        <f t="shared" si="1"/>
        <v xml:space="preserve">Vista OIL | EVENTUALES - Enfermero doble </v>
      </c>
      <c r="B88" t="s">
        <v>15</v>
      </c>
      <c r="C88" t="s">
        <v>23</v>
      </c>
      <c r="D88" t="s">
        <v>28</v>
      </c>
      <c r="E88" t="s">
        <v>120</v>
      </c>
      <c r="F88" s="6">
        <v>0.1</v>
      </c>
    </row>
    <row r="89" spans="1:6" x14ac:dyDescent="0.35">
      <c r="A89" t="str">
        <f t="shared" si="1"/>
        <v>GENNEIA | Parque Solar Ullúm</v>
      </c>
      <c r="B89" t="s">
        <v>10</v>
      </c>
      <c r="C89" t="s">
        <v>113</v>
      </c>
      <c r="D89" t="s">
        <v>19</v>
      </c>
      <c r="E89" t="s">
        <v>121</v>
      </c>
      <c r="F89" s="6">
        <v>0.1</v>
      </c>
    </row>
    <row r="90" spans="1:6" x14ac:dyDescent="0.35">
      <c r="A90" t="str">
        <f t="shared" si="1"/>
        <v xml:space="preserve">Techint | Gasoducto Duplicar Norte </v>
      </c>
      <c r="B90" t="s">
        <v>15</v>
      </c>
      <c r="C90" t="s">
        <v>122</v>
      </c>
      <c r="D90" t="s">
        <v>19</v>
      </c>
      <c r="E90" t="s">
        <v>123</v>
      </c>
      <c r="F90" s="6">
        <v>0.1</v>
      </c>
    </row>
    <row r="91" spans="1:6" x14ac:dyDescent="0.35">
      <c r="A91" t="str">
        <f t="shared" si="1"/>
        <v>GENNEIA | Parque Solar Junin</v>
      </c>
      <c r="B91" t="s">
        <v>10</v>
      </c>
      <c r="C91" t="s">
        <v>113</v>
      </c>
      <c r="D91" t="s">
        <v>19</v>
      </c>
      <c r="E91" t="s">
        <v>124</v>
      </c>
      <c r="F91" s="6">
        <v>0.1</v>
      </c>
    </row>
    <row r="92" spans="1:6" x14ac:dyDescent="0.35">
      <c r="A92" t="str">
        <f t="shared" si="1"/>
        <v>GENNEIA | Parque Solar Lincoln</v>
      </c>
      <c r="B92" t="s">
        <v>10</v>
      </c>
      <c r="C92" t="s">
        <v>113</v>
      </c>
      <c r="D92" t="s">
        <v>19</v>
      </c>
      <c r="E92" t="s">
        <v>125</v>
      </c>
      <c r="F92" s="6">
        <v>0.1</v>
      </c>
    </row>
    <row r="93" spans="1:6" x14ac:dyDescent="0.35">
      <c r="A93" t="str">
        <f t="shared" si="1"/>
        <v>Fortescue | Proyecto Nacimiento/Vanesa</v>
      </c>
      <c r="B93" t="s">
        <v>10</v>
      </c>
      <c r="C93" t="s">
        <v>126</v>
      </c>
      <c r="D93" t="s">
        <v>19</v>
      </c>
      <c r="E93" t="s">
        <v>127</v>
      </c>
      <c r="F93" s="6">
        <v>0.1</v>
      </c>
    </row>
    <row r="94" spans="1:6" x14ac:dyDescent="0.35">
      <c r="A94" t="str">
        <f t="shared" si="1"/>
        <v>First Quantum | Vendaval</v>
      </c>
      <c r="B94" t="s">
        <v>4</v>
      </c>
      <c r="C94" t="s">
        <v>128</v>
      </c>
      <c r="D94" t="s">
        <v>19</v>
      </c>
      <c r="E94" t="s">
        <v>129</v>
      </c>
      <c r="F94" s="6">
        <v>0.1</v>
      </c>
    </row>
    <row r="95" spans="1:6" x14ac:dyDescent="0.35">
      <c r="A95" t="str">
        <f t="shared" si="1"/>
        <v>Contreras | Proyecto Las grutas</v>
      </c>
      <c r="B95" t="s">
        <v>10</v>
      </c>
      <c r="C95" t="s">
        <v>130</v>
      </c>
      <c r="D95" t="s">
        <v>19</v>
      </c>
      <c r="E95" t="s">
        <v>131</v>
      </c>
      <c r="F95" s="6">
        <v>0.1</v>
      </c>
    </row>
    <row r="96" spans="1:6" x14ac:dyDescent="0.35">
      <c r="A96" t="str">
        <f t="shared" si="1"/>
        <v>IAN Servicios | IAN Servicios</v>
      </c>
      <c r="B96" t="s">
        <v>10</v>
      </c>
      <c r="C96" t="s">
        <v>132</v>
      </c>
      <c r="D96" t="s">
        <v>19</v>
      </c>
      <c r="E96" t="s">
        <v>132</v>
      </c>
      <c r="F96" s="6">
        <v>0.1</v>
      </c>
    </row>
    <row r="97" spans="1:6" x14ac:dyDescent="0.35">
      <c r="A97" t="str">
        <f t="shared" si="1"/>
        <v>Rio Tinto | Salar de Rincon &amp; Sal de vida</v>
      </c>
      <c r="B97" t="s">
        <v>4</v>
      </c>
      <c r="C97" t="s">
        <v>133</v>
      </c>
      <c r="D97" t="s">
        <v>19</v>
      </c>
      <c r="E97" t="s">
        <v>134</v>
      </c>
      <c r="F97" s="6">
        <v>0.1</v>
      </c>
    </row>
    <row r="98" spans="1:6" x14ac:dyDescent="0.35">
      <c r="A98" t="str">
        <f t="shared" si="1"/>
        <v>ENEL | Enel</v>
      </c>
      <c r="B98" t="s">
        <v>10</v>
      </c>
      <c r="C98" t="s">
        <v>135</v>
      </c>
      <c r="D98" t="s">
        <v>19</v>
      </c>
      <c r="E98" t="s">
        <v>136</v>
      </c>
      <c r="F98" s="6">
        <v>0.1</v>
      </c>
    </row>
    <row r="99" spans="1:6" x14ac:dyDescent="0.35">
      <c r="A99" t="str">
        <f t="shared" si="1"/>
        <v>MILICIC | Obras Infraestructura en NOA &amp; Rio negro/NQN</v>
      </c>
      <c r="B99" t="s">
        <v>10</v>
      </c>
      <c r="C99" t="s">
        <v>81</v>
      </c>
      <c r="D99" t="s">
        <v>19</v>
      </c>
      <c r="E99" t="s">
        <v>137</v>
      </c>
      <c r="F99" s="6">
        <v>0.1</v>
      </c>
    </row>
    <row r="100" spans="1:6" x14ac:dyDescent="0.35">
      <c r="A100" t="str">
        <f t="shared" si="1"/>
        <v>Casposo | Casposo</v>
      </c>
      <c r="B100" t="s">
        <v>4</v>
      </c>
      <c r="C100" t="s">
        <v>138</v>
      </c>
      <c r="D100" t="s">
        <v>19</v>
      </c>
      <c r="E100" t="s">
        <v>138</v>
      </c>
      <c r="F100" s="6">
        <v>0.1</v>
      </c>
    </row>
    <row r="101" spans="1:6" x14ac:dyDescent="0.35">
      <c r="A101" t="str">
        <f t="shared" si="1"/>
        <v>McEwen | Los Azules</v>
      </c>
      <c r="B101" t="s">
        <v>4</v>
      </c>
      <c r="C101" t="s">
        <v>139</v>
      </c>
      <c r="D101" t="s">
        <v>19</v>
      </c>
      <c r="E101" t="s">
        <v>140</v>
      </c>
      <c r="F101" s="6">
        <v>0.1</v>
      </c>
    </row>
    <row r="102" spans="1:6" x14ac:dyDescent="0.35">
      <c r="A102" t="str">
        <f t="shared" si="1"/>
        <v>Minera San Jorge SA | Proyecto San Jorge</v>
      </c>
      <c r="B102" t="s">
        <v>4</v>
      </c>
      <c r="C102" t="s">
        <v>141</v>
      </c>
      <c r="D102" t="s">
        <v>19</v>
      </c>
      <c r="E102" t="s">
        <v>142</v>
      </c>
      <c r="F102" s="6">
        <v>0.1</v>
      </c>
    </row>
    <row r="103" spans="1:6" x14ac:dyDescent="0.35">
      <c r="A103" t="str">
        <f t="shared" si="1"/>
        <v xml:space="preserve">Vestas | Vestas - Olavarría </v>
      </c>
      <c r="B103" t="s">
        <v>10</v>
      </c>
      <c r="C103" t="s">
        <v>11</v>
      </c>
      <c r="D103" t="s">
        <v>12</v>
      </c>
      <c r="E103" t="s">
        <v>143</v>
      </c>
      <c r="F103" s="6">
        <v>0.1</v>
      </c>
    </row>
    <row r="104" spans="1:6" x14ac:dyDescent="0.35">
      <c r="A104" t="str">
        <f t="shared" si="1"/>
        <v>Vestas | Vestas - Mataco III</v>
      </c>
      <c r="B104" t="s">
        <v>10</v>
      </c>
      <c r="C104" t="s">
        <v>11</v>
      </c>
      <c r="D104" t="s">
        <v>12</v>
      </c>
      <c r="E104" t="s">
        <v>144</v>
      </c>
      <c r="F104" s="6">
        <v>0.1</v>
      </c>
    </row>
    <row r="105" spans="1:6" x14ac:dyDescent="0.35">
      <c r="A105" t="str">
        <f t="shared" si="1"/>
        <v xml:space="preserve">Techint | Gasoducto Southern Energy GNL </v>
      </c>
      <c r="B105" t="s">
        <v>15</v>
      </c>
      <c r="C105" t="s">
        <v>122</v>
      </c>
      <c r="D105" t="s">
        <v>19</v>
      </c>
      <c r="E105" t="s">
        <v>145</v>
      </c>
      <c r="F105" s="6">
        <v>0.1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Factores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Santiago</dc:creator>
  <cp:lastModifiedBy>Alonso, Santiago</cp:lastModifiedBy>
  <dcterms:created xsi:type="dcterms:W3CDTF">2015-06-05T18:19:34Z</dcterms:created>
  <dcterms:modified xsi:type="dcterms:W3CDTF">2026-06-17T16:33:06Z</dcterms:modified>
</cp:coreProperties>
</file>