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Nuevos Negocios\Juliana\10 TRBJ\12 Ops Comp\05 Costos\09 Presupuesto - Budget - Fcst\2026\"/>
    </mc:Choice>
  </mc:AlternateContent>
  <xr:revisionPtr revIDLastSave="0" documentId="13_ncr:1_{827E9343-CD26-43D6-A3C0-0C6E5C5E17A7}" xr6:coauthVersionLast="47" xr6:coauthVersionMax="47" xr10:uidLastSave="{00000000-0000-0000-0000-000000000000}"/>
  <bookViews>
    <workbookView xWindow="-110" yWindow="-110" windowWidth="19420" windowHeight="10300" activeTab="1" xr2:uid="{569F0359-6972-4E8C-84AE-5286AB99F39D}"/>
  </bookViews>
  <sheets>
    <sheet name="Resumen Base" sheetId="1" r:id="rId1"/>
    <sheet name="Dim" sheetId="2" r:id="rId2"/>
    <sheet name="Config" sheetId="3" r:id="rId8"/>
  </sheets>
  <externalReferences>
    <externalReference r:id="rId3"/>
  </externalReferences>
  <definedNames>
    <definedName name="______VF2">#REF!</definedName>
    <definedName name="______VF22">#REF!</definedName>
    <definedName name="_____cap1">#REF!</definedName>
    <definedName name="_____VF2">#REF!</definedName>
    <definedName name="_____VF22">#REF!</definedName>
    <definedName name="_____vf23">#REF!</definedName>
    <definedName name="_____vf3">#REF!</definedName>
    <definedName name="_____vf5">#REF!</definedName>
    <definedName name="____cap1">#REF!</definedName>
    <definedName name="____VF2">#REF!</definedName>
    <definedName name="____VF22">#REF!</definedName>
    <definedName name="____vf23">#REF!</definedName>
    <definedName name="____vf3">#REF!</definedName>
    <definedName name="____vf5">#REF!</definedName>
    <definedName name="___cap1">#REF!</definedName>
    <definedName name="___VF2">#REF!</definedName>
    <definedName name="___VF22">#REF!</definedName>
    <definedName name="___vf23">#REF!</definedName>
    <definedName name="___vf3">#REF!</definedName>
    <definedName name="___vf5">#REF!</definedName>
    <definedName name="__cap1">#REF!</definedName>
    <definedName name="__VF2">#REF!</definedName>
    <definedName name="__VF22">#REF!</definedName>
    <definedName name="__vf23">#REF!</definedName>
    <definedName name="__vf3">#REF!</definedName>
    <definedName name="__vf5">#REF!</definedName>
    <definedName name="_cap1">#REF!</definedName>
    <definedName name="_xlnm._FilterDatabase" localSheetId="0" hidden="1">'Resumen Base'!$A$5:$AV$5</definedName>
    <definedName name="_VF2">#REF!</definedName>
    <definedName name="_VF22">#REF!</definedName>
    <definedName name="_vf23">#REF!</definedName>
    <definedName name="_vf3">#REF!</definedName>
    <definedName name="_vf5">#REF!</definedName>
    <definedName name="a">#REF!</definedName>
    <definedName name="aa">#REF!</definedName>
    <definedName name="aasas">#REF!</definedName>
    <definedName name="ASDASDASD">#REF!</definedName>
    <definedName name="asdsdsdsd">#REF!</definedName>
    <definedName name="CAP">#REF!</definedName>
    <definedName name="Capital">#REF!</definedName>
    <definedName name="Choferes">#REF!</definedName>
    <definedName name="CUENTA.RUBRO.GS.EBITDA">#REF!</definedName>
    <definedName name="DD">#REF!</definedName>
    <definedName name="Eoaf">#REF!</definedName>
    <definedName name="gh">#REF!</definedName>
    <definedName name="PERIODOS">#REF!</definedName>
    <definedName name="RE">#REF!</definedName>
    <definedName name="Resumen">#REF!</definedName>
    <definedName name="sss">#REF!</definedName>
    <definedName name="Total">#REF!</definedName>
    <definedName name="Ventas">'Resumen Base'!$A$5:$AS$59</definedName>
    <definedName name="VF02_052010">#REF!</definedName>
    <definedName name="VF02_092010">#REF!</definedName>
    <definedName name="VF02_102010">#REF!</definedName>
    <definedName name="VF02_112010">#REF!</definedName>
    <definedName name="WEREWR">#REF!</definedName>
    <definedName name="ZCLIENTES_CON_NUIC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8" i="1" l="1"/>
  <c r="AH6" i="1"/>
  <c r="AV6" i="1" s="1"/>
  <c r="AV3" i="1" s="1"/>
  <c r="AT3" i="1"/>
  <c r="AU3" i="1"/>
  <c r="AT7" i="1"/>
  <c r="AU7" i="1"/>
  <c r="AV7" i="1"/>
  <c r="AT8" i="1"/>
  <c r="AU8" i="1"/>
  <c r="AV8" i="1"/>
  <c r="AT9" i="1"/>
  <c r="AU9" i="1"/>
  <c r="AV9" i="1"/>
  <c r="AT10" i="1"/>
  <c r="AU10" i="1"/>
  <c r="AV10" i="1"/>
  <c r="AT11" i="1"/>
  <c r="AU11" i="1"/>
  <c r="AV11" i="1"/>
  <c r="AT12" i="1"/>
  <c r="AU12" i="1"/>
  <c r="AV12" i="1"/>
  <c r="AT13" i="1"/>
  <c r="AU13" i="1"/>
  <c r="AV13" i="1"/>
  <c r="AT14" i="1"/>
  <c r="AU14" i="1"/>
  <c r="AV14" i="1"/>
  <c r="AT15" i="1"/>
  <c r="AU15" i="1"/>
  <c r="AV15" i="1"/>
  <c r="AT16" i="1"/>
  <c r="AU16" i="1"/>
  <c r="AV16" i="1"/>
  <c r="AT17" i="1"/>
  <c r="AU17" i="1"/>
  <c r="AV17" i="1"/>
  <c r="AT18" i="1"/>
  <c r="AU18" i="1"/>
  <c r="AV18" i="1"/>
  <c r="AT19" i="1"/>
  <c r="AU19" i="1"/>
  <c r="AV19" i="1"/>
  <c r="AT20" i="1"/>
  <c r="AU20" i="1"/>
  <c r="AV20" i="1"/>
  <c r="AT21" i="1"/>
  <c r="AU21" i="1"/>
  <c r="AV21" i="1"/>
  <c r="AT22" i="1"/>
  <c r="AU22" i="1"/>
  <c r="AV22" i="1"/>
  <c r="AT23" i="1"/>
  <c r="AU23" i="1"/>
  <c r="AV23" i="1"/>
  <c r="AT24" i="1"/>
  <c r="AU24" i="1"/>
  <c r="AV24" i="1"/>
  <c r="AT25" i="1"/>
  <c r="AU25" i="1"/>
  <c r="AV25" i="1"/>
  <c r="AT26" i="1"/>
  <c r="AU26" i="1"/>
  <c r="AV26" i="1"/>
  <c r="AT27" i="1"/>
  <c r="AU27" i="1"/>
  <c r="AV27" i="1"/>
  <c r="AT28" i="1"/>
  <c r="AU28" i="1"/>
  <c r="AV28" i="1"/>
  <c r="AT29" i="1"/>
  <c r="AU29" i="1"/>
  <c r="AV29" i="1"/>
  <c r="AT30" i="1"/>
  <c r="AU30" i="1"/>
  <c r="AV30" i="1"/>
  <c r="AT31" i="1"/>
  <c r="AU31" i="1"/>
  <c r="AV31" i="1"/>
  <c r="AT32" i="1"/>
  <c r="AU32" i="1"/>
  <c r="AV32" i="1"/>
  <c r="AT33" i="1"/>
  <c r="AU33" i="1"/>
  <c r="AV33" i="1"/>
  <c r="AT34" i="1"/>
  <c r="AU34" i="1"/>
  <c r="AV34" i="1"/>
  <c r="AT35" i="1"/>
  <c r="AU35" i="1"/>
  <c r="AV35" i="1"/>
  <c r="AT36" i="1"/>
  <c r="AU36" i="1"/>
  <c r="AV36" i="1"/>
  <c r="AT37" i="1"/>
  <c r="AU37" i="1"/>
  <c r="AV37" i="1"/>
  <c r="AT38" i="1"/>
  <c r="AU38" i="1"/>
  <c r="AV38" i="1"/>
  <c r="AT39" i="1"/>
  <c r="AU39" i="1"/>
  <c r="AV39" i="1"/>
  <c r="AT40" i="1"/>
  <c r="AU40" i="1"/>
  <c r="AV40" i="1"/>
  <c r="AT41" i="1"/>
  <c r="AU41" i="1"/>
  <c r="AV41" i="1"/>
  <c r="AT42" i="1"/>
  <c r="AU42" i="1"/>
  <c r="AV42" i="1"/>
  <c r="AT43" i="1"/>
  <c r="AU43" i="1"/>
  <c r="AV43" i="1"/>
  <c r="AT44" i="1"/>
  <c r="AU44" i="1"/>
  <c r="AV44" i="1"/>
  <c r="AT45" i="1"/>
  <c r="AU45" i="1"/>
  <c r="AV45" i="1"/>
  <c r="AT46" i="1"/>
  <c r="AU46" i="1"/>
  <c r="AV46" i="1"/>
  <c r="AT47" i="1"/>
  <c r="AU47" i="1"/>
  <c r="AV47" i="1"/>
  <c r="AT48" i="1"/>
  <c r="AU48" i="1"/>
  <c r="AV48" i="1"/>
  <c r="AT49" i="1"/>
  <c r="AU49" i="1"/>
  <c r="AV49" i="1"/>
  <c r="AT50" i="1"/>
  <c r="AU50" i="1"/>
  <c r="AV50" i="1"/>
  <c r="AT51" i="1"/>
  <c r="AU51" i="1"/>
  <c r="AV51" i="1"/>
  <c r="AT52" i="1"/>
  <c r="AU52" i="1"/>
  <c r="AV52" i="1"/>
  <c r="AT53" i="1"/>
  <c r="AU53" i="1"/>
  <c r="AV53" i="1"/>
  <c r="AT54" i="1"/>
  <c r="AU54" i="1"/>
  <c r="AV54" i="1"/>
  <c r="AT55" i="1"/>
  <c r="AU55" i="1"/>
  <c r="AV55" i="1"/>
  <c r="AT56" i="1"/>
  <c r="AU56" i="1"/>
  <c r="AV56" i="1"/>
  <c r="AT57" i="1"/>
  <c r="AU57" i="1"/>
  <c r="AV57" i="1"/>
  <c r="AT58" i="1"/>
  <c r="AU58" i="1"/>
  <c r="AV58" i="1"/>
  <c r="AT59" i="1"/>
  <c r="AU59" i="1"/>
  <c r="AV59" i="1"/>
  <c r="AT60" i="1"/>
  <c r="AU60" i="1"/>
  <c r="AV60" i="1"/>
  <c r="AT61" i="1"/>
  <c r="AU61" i="1"/>
  <c r="AV61" i="1"/>
  <c r="AT62" i="1"/>
  <c r="AU62" i="1"/>
  <c r="AV62" i="1"/>
  <c r="AT63" i="1"/>
  <c r="AU63" i="1"/>
  <c r="AV63" i="1"/>
  <c r="AT64" i="1"/>
  <c r="AU64" i="1"/>
  <c r="AV64" i="1"/>
  <c r="AT65" i="1"/>
  <c r="AU65" i="1"/>
  <c r="AV65" i="1"/>
  <c r="AT66" i="1"/>
  <c r="AU66" i="1"/>
  <c r="AV66" i="1"/>
  <c r="AT67" i="1"/>
  <c r="AU67" i="1"/>
  <c r="AV67" i="1"/>
  <c r="AT68" i="1"/>
  <c r="AU68" i="1"/>
  <c r="AV68" i="1"/>
  <c r="AT69" i="1"/>
  <c r="AU69" i="1"/>
  <c r="AV69" i="1"/>
  <c r="AT70" i="1"/>
  <c r="AU70" i="1"/>
  <c r="AV70" i="1"/>
  <c r="AT71" i="1"/>
  <c r="AU71" i="1"/>
  <c r="AV71" i="1"/>
  <c r="AT72" i="1"/>
  <c r="AU72" i="1"/>
  <c r="AV72" i="1"/>
  <c r="AT73" i="1"/>
  <c r="AU73" i="1"/>
  <c r="AV73" i="1"/>
  <c r="AT74" i="1"/>
  <c r="AU74" i="1"/>
  <c r="AV74" i="1"/>
  <c r="AT75" i="1"/>
  <c r="AU75" i="1"/>
  <c r="AV75" i="1"/>
  <c r="AT76" i="1"/>
  <c r="AU76" i="1"/>
  <c r="AV76" i="1"/>
  <c r="AT77" i="1"/>
  <c r="AU77" i="1"/>
  <c r="AV77" i="1"/>
  <c r="AT78" i="1"/>
  <c r="AU78" i="1"/>
  <c r="AV78" i="1"/>
  <c r="AT79" i="1"/>
  <c r="AU79" i="1"/>
  <c r="AV79" i="1"/>
  <c r="AT80" i="1"/>
  <c r="AU80" i="1"/>
  <c r="AV80" i="1"/>
  <c r="AT81" i="1"/>
  <c r="AU81" i="1"/>
  <c r="AV81" i="1"/>
  <c r="AT82" i="1"/>
  <c r="AU82" i="1"/>
  <c r="AV82" i="1"/>
  <c r="AT83" i="1"/>
  <c r="AU83" i="1"/>
  <c r="AV83" i="1"/>
  <c r="AT84" i="1"/>
  <c r="AU84" i="1"/>
  <c r="AV84" i="1"/>
  <c r="AT85" i="1"/>
  <c r="AU85" i="1"/>
  <c r="AV85" i="1"/>
  <c r="AT86" i="1"/>
  <c r="AU86" i="1"/>
  <c r="AV86" i="1"/>
  <c r="AT87" i="1"/>
  <c r="AU87" i="1"/>
  <c r="AV87" i="1"/>
  <c r="AT88" i="1"/>
  <c r="AU88" i="1"/>
  <c r="AV88" i="1"/>
  <c r="AT89" i="1"/>
  <c r="AU89" i="1"/>
  <c r="AV89" i="1"/>
  <c r="AT90" i="1"/>
  <c r="AU90" i="1"/>
  <c r="AV90" i="1"/>
  <c r="AT91" i="1"/>
  <c r="AU91" i="1"/>
  <c r="AV91" i="1"/>
  <c r="AT92" i="1"/>
  <c r="AU92" i="1"/>
  <c r="AV92" i="1"/>
  <c r="AT93" i="1"/>
  <c r="AU93" i="1"/>
  <c r="AV93" i="1"/>
  <c r="AT94" i="1"/>
  <c r="AU94" i="1"/>
  <c r="AV94" i="1"/>
  <c r="AT95" i="1"/>
  <c r="AU95" i="1"/>
  <c r="AV95" i="1"/>
  <c r="AT96" i="1"/>
  <c r="AU96" i="1"/>
  <c r="AV96" i="1"/>
  <c r="AT97" i="1"/>
  <c r="AU97" i="1"/>
  <c r="AV97" i="1"/>
  <c r="AT98" i="1"/>
  <c r="AU98" i="1"/>
  <c r="AV98" i="1"/>
  <c r="AT99" i="1"/>
  <c r="AU99" i="1"/>
  <c r="AV99" i="1"/>
  <c r="AT100" i="1"/>
  <c r="AU100" i="1"/>
  <c r="AV100" i="1"/>
  <c r="AT101" i="1"/>
  <c r="AU101" i="1"/>
  <c r="AV101" i="1"/>
  <c r="AT102" i="1"/>
  <c r="AU102" i="1"/>
  <c r="AV102" i="1"/>
  <c r="AT103" i="1"/>
  <c r="AU103" i="1"/>
  <c r="AV103" i="1"/>
  <c r="AT104" i="1"/>
  <c r="AU104" i="1"/>
  <c r="AV104" i="1"/>
  <c r="AT105" i="1"/>
  <c r="AU105" i="1"/>
  <c r="AV105" i="1"/>
  <c r="AT106" i="1"/>
  <c r="AU106" i="1"/>
  <c r="AV106" i="1"/>
  <c r="AT107" i="1"/>
  <c r="AU107" i="1"/>
  <c r="AV107" i="1"/>
  <c r="AT108" i="1"/>
  <c r="AU108" i="1"/>
  <c r="AV108" i="1"/>
  <c r="AT109" i="1"/>
  <c r="AU109" i="1"/>
  <c r="AV109" i="1"/>
  <c r="AT110" i="1"/>
  <c r="AU110" i="1"/>
  <c r="AV110" i="1"/>
  <c r="AU6" i="1"/>
  <c r="AT6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I6" i="1"/>
  <c r="AJ6" i="1"/>
  <c r="AK6" i="1"/>
  <c r="AL6" i="1"/>
  <c r="AM6" i="1"/>
  <c r="AN6" i="1"/>
  <c r="AO6" i="1"/>
  <c r="AP6" i="1"/>
  <c r="AQ6" i="1"/>
  <c r="AR6" i="1"/>
  <c r="AS6" i="1"/>
  <c r="AH7" i="1"/>
  <c r="AI7" i="1"/>
  <c r="AJ7" i="1"/>
  <c r="AK7" i="1"/>
  <c r="AL7" i="1"/>
  <c r="AM7" i="1"/>
  <c r="AN7" i="1"/>
  <c r="AO7" i="1"/>
  <c r="AP7" i="1"/>
  <c r="AQ7" i="1"/>
  <c r="AR7" i="1"/>
  <c r="AS7" i="1"/>
  <c r="AH8" i="1"/>
  <c r="AI8" i="1"/>
  <c r="AJ8" i="1"/>
  <c r="AK8" i="1"/>
  <c r="AL8" i="1"/>
  <c r="AM8" i="1"/>
  <c r="AN8" i="1"/>
  <c r="AO8" i="1"/>
  <c r="AP8" i="1"/>
  <c r="AQ8" i="1"/>
  <c r="AR8" i="1"/>
  <c r="AS8" i="1"/>
  <c r="AH9" i="1"/>
  <c r="AI9" i="1"/>
  <c r="AJ9" i="1"/>
  <c r="AK9" i="1"/>
  <c r="AL9" i="1"/>
  <c r="AM9" i="1"/>
  <c r="AN9" i="1"/>
  <c r="AO9" i="1"/>
  <c r="AP9" i="1"/>
  <c r="AQ9" i="1"/>
  <c r="AR9" i="1"/>
  <c r="AS9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V6" i="1"/>
  <c r="W6" i="1"/>
  <c r="X6" i="1"/>
  <c r="Y6" i="1"/>
  <c r="Z6" i="1"/>
  <c r="AA6" i="1"/>
  <c r="AB6" i="1"/>
  <c r="AC6" i="1"/>
  <c r="AD6" i="1"/>
  <c r="AE6" i="1"/>
  <c r="AF6" i="1"/>
  <c r="AG6" i="1"/>
  <c r="V7" i="1"/>
  <c r="W7" i="1"/>
  <c r="X7" i="1"/>
  <c r="Y7" i="1"/>
  <c r="Z7" i="1"/>
  <c r="AA7" i="1"/>
  <c r="AB7" i="1"/>
  <c r="AC7" i="1"/>
  <c r="AD7" i="1"/>
  <c r="AE7" i="1"/>
  <c r="AF7" i="1"/>
  <c r="AG7" i="1"/>
  <c r="V8" i="1"/>
  <c r="W8" i="1"/>
  <c r="X8" i="1"/>
  <c r="Y8" i="1"/>
  <c r="Z8" i="1"/>
  <c r="AA8" i="1"/>
  <c r="AB8" i="1"/>
  <c r="AC8" i="1"/>
  <c r="AD8" i="1"/>
  <c r="AE8" i="1"/>
  <c r="AF8" i="1"/>
  <c r="AG8" i="1"/>
  <c r="V9" i="1"/>
  <c r="W9" i="1"/>
  <c r="X9" i="1"/>
  <c r="Y9" i="1"/>
  <c r="Z9" i="1"/>
  <c r="AA9" i="1"/>
  <c r="AB9" i="1"/>
  <c r="AC9" i="1"/>
  <c r="AD9" i="1"/>
  <c r="AE9" i="1"/>
  <c r="AF9" i="1"/>
  <c r="AG9" i="1"/>
  <c r="V10" i="1"/>
  <c r="W10" i="1"/>
  <c r="X10" i="1"/>
  <c r="Y10" i="1"/>
  <c r="Z10" i="1"/>
  <c r="AA10" i="1"/>
  <c r="AB10" i="1"/>
  <c r="AC10" i="1"/>
  <c r="AD10" i="1"/>
  <c r="AE10" i="1"/>
  <c r="AF10" i="1"/>
  <c r="AG10" i="1"/>
  <c r="V11" i="1"/>
  <c r="W11" i="1"/>
  <c r="X11" i="1"/>
  <c r="Y11" i="1"/>
  <c r="Z11" i="1"/>
  <c r="AA11" i="1"/>
  <c r="AB11" i="1"/>
  <c r="AC11" i="1"/>
  <c r="AD11" i="1"/>
  <c r="AE11" i="1"/>
  <c r="AF11" i="1"/>
  <c r="AG11" i="1"/>
  <c r="V12" i="1"/>
  <c r="W12" i="1"/>
  <c r="X12" i="1"/>
  <c r="Y12" i="1"/>
  <c r="Z12" i="1"/>
  <c r="AA12" i="1"/>
  <c r="AB12" i="1"/>
  <c r="AC12" i="1"/>
  <c r="AD12" i="1"/>
  <c r="AE12" i="1"/>
  <c r="AF12" i="1"/>
  <c r="AG12" i="1"/>
  <c r="V13" i="1"/>
  <c r="W13" i="1"/>
  <c r="X13" i="1"/>
  <c r="Y13" i="1"/>
  <c r="Z13" i="1"/>
  <c r="AA13" i="1"/>
  <c r="AB13" i="1"/>
  <c r="AC13" i="1"/>
  <c r="AD13" i="1"/>
  <c r="AE13" i="1"/>
  <c r="AF13" i="1"/>
  <c r="AG13" i="1"/>
  <c r="V14" i="1"/>
  <c r="W14" i="1"/>
  <c r="X14" i="1"/>
  <c r="Y14" i="1"/>
  <c r="Z14" i="1"/>
  <c r="AA14" i="1"/>
  <c r="AB14" i="1"/>
  <c r="AC14" i="1"/>
  <c r="AD14" i="1"/>
  <c r="AE14" i="1"/>
  <c r="AF14" i="1"/>
  <c r="AG14" i="1"/>
  <c r="V15" i="1"/>
  <c r="W15" i="1"/>
  <c r="X15" i="1"/>
  <c r="Y15" i="1"/>
  <c r="Z15" i="1"/>
  <c r="AA15" i="1"/>
  <c r="AB15" i="1"/>
  <c r="AC15" i="1"/>
  <c r="AD15" i="1"/>
  <c r="AE15" i="1"/>
  <c r="AF15" i="1"/>
  <c r="AG15" i="1"/>
  <c r="V16" i="1"/>
  <c r="W16" i="1"/>
  <c r="X16" i="1"/>
  <c r="Y16" i="1"/>
  <c r="Z16" i="1"/>
  <c r="AA16" i="1"/>
  <c r="AB16" i="1"/>
  <c r="AC16" i="1"/>
  <c r="AD16" i="1"/>
  <c r="AE16" i="1"/>
  <c r="AF16" i="1"/>
  <c r="AG16" i="1"/>
  <c r="V17" i="1"/>
  <c r="W17" i="1"/>
  <c r="X17" i="1"/>
  <c r="Y17" i="1"/>
  <c r="Z17" i="1"/>
  <c r="AA17" i="1"/>
  <c r="AB17" i="1"/>
  <c r="AC17" i="1"/>
  <c r="AD17" i="1"/>
  <c r="AE17" i="1"/>
  <c r="AF17" i="1"/>
  <c r="AG17" i="1"/>
  <c r="V18" i="1"/>
  <c r="W18" i="1"/>
  <c r="X18" i="1"/>
  <c r="Y18" i="1"/>
  <c r="Z18" i="1"/>
  <c r="AA18" i="1"/>
  <c r="AB18" i="1"/>
  <c r="AC18" i="1"/>
  <c r="AD18" i="1"/>
  <c r="AE18" i="1"/>
  <c r="AF18" i="1"/>
  <c r="AG18" i="1"/>
  <c r="V19" i="1"/>
  <c r="W19" i="1"/>
  <c r="X19" i="1"/>
  <c r="Y19" i="1"/>
  <c r="Z19" i="1"/>
  <c r="AA19" i="1"/>
  <c r="AB19" i="1"/>
  <c r="AC19" i="1"/>
  <c r="AD19" i="1"/>
  <c r="AE19" i="1"/>
  <c r="AF19" i="1"/>
  <c r="AG19" i="1"/>
  <c r="V20" i="1"/>
  <c r="W20" i="1"/>
  <c r="X20" i="1"/>
  <c r="Y20" i="1"/>
  <c r="Z20" i="1"/>
  <c r="AA20" i="1"/>
  <c r="AB20" i="1"/>
  <c r="AC20" i="1"/>
  <c r="AD20" i="1"/>
  <c r="AE20" i="1"/>
  <c r="AF20" i="1"/>
  <c r="AG20" i="1"/>
  <c r="V21" i="1"/>
  <c r="W21" i="1"/>
  <c r="X21" i="1"/>
  <c r="Y21" i="1"/>
  <c r="Z21" i="1"/>
  <c r="AA21" i="1"/>
  <c r="AB21" i="1"/>
  <c r="AC21" i="1"/>
  <c r="AD21" i="1"/>
  <c r="AE21" i="1"/>
  <c r="AF21" i="1"/>
  <c r="AG21" i="1"/>
  <c r="V22" i="1"/>
  <c r="W22" i="1"/>
  <c r="X22" i="1"/>
  <c r="Y22" i="1"/>
  <c r="Z22" i="1"/>
  <c r="AA22" i="1"/>
  <c r="AB22" i="1"/>
  <c r="AC22" i="1"/>
  <c r="AD22" i="1"/>
  <c r="AE22" i="1"/>
  <c r="AF22" i="1"/>
  <c r="AG22" i="1"/>
  <c r="V23" i="1"/>
  <c r="W23" i="1"/>
  <c r="X23" i="1"/>
  <c r="Y23" i="1"/>
  <c r="Z23" i="1"/>
  <c r="AA23" i="1"/>
  <c r="AB23" i="1"/>
  <c r="AC23" i="1"/>
  <c r="AD23" i="1"/>
  <c r="AE23" i="1"/>
  <c r="AF23" i="1"/>
  <c r="AG23" i="1"/>
  <c r="V24" i="1"/>
  <c r="W24" i="1"/>
  <c r="X24" i="1"/>
  <c r="Y24" i="1"/>
  <c r="Z24" i="1"/>
  <c r="AA24" i="1"/>
  <c r="AB24" i="1"/>
  <c r="AC24" i="1"/>
  <c r="AD24" i="1"/>
  <c r="AE24" i="1"/>
  <c r="AF24" i="1"/>
  <c r="AG24" i="1"/>
  <c r="V25" i="1"/>
  <c r="W25" i="1"/>
  <c r="X25" i="1"/>
  <c r="Y25" i="1"/>
  <c r="Z25" i="1"/>
  <c r="AA25" i="1"/>
  <c r="AB25" i="1"/>
  <c r="AC25" i="1"/>
  <c r="AD25" i="1"/>
  <c r="AE25" i="1"/>
  <c r="AF25" i="1"/>
  <c r="AG25" i="1"/>
  <c r="V26" i="1"/>
  <c r="W26" i="1"/>
  <c r="X26" i="1"/>
  <c r="Y26" i="1"/>
  <c r="Z26" i="1"/>
  <c r="AA26" i="1"/>
  <c r="AB26" i="1"/>
  <c r="AC26" i="1"/>
  <c r="AD26" i="1"/>
  <c r="AE26" i="1"/>
  <c r="AF26" i="1"/>
  <c r="AG26" i="1"/>
  <c r="V27" i="1"/>
  <c r="W27" i="1"/>
  <c r="X27" i="1"/>
  <c r="Y27" i="1"/>
  <c r="Z27" i="1"/>
  <c r="AA27" i="1"/>
  <c r="AB27" i="1"/>
  <c r="AC27" i="1"/>
  <c r="AD27" i="1"/>
  <c r="AE27" i="1"/>
  <c r="AF27" i="1"/>
  <c r="AG27" i="1"/>
  <c r="V28" i="1"/>
  <c r="W28" i="1"/>
  <c r="X28" i="1"/>
  <c r="Y28" i="1"/>
  <c r="Z28" i="1"/>
  <c r="AA28" i="1"/>
  <c r="AB28" i="1"/>
  <c r="AC28" i="1"/>
  <c r="AD28" i="1"/>
  <c r="AE28" i="1"/>
  <c r="AF28" i="1"/>
  <c r="AG28" i="1"/>
  <c r="V29" i="1"/>
  <c r="W29" i="1"/>
  <c r="X29" i="1"/>
  <c r="Y29" i="1"/>
  <c r="Z29" i="1"/>
  <c r="AA29" i="1"/>
  <c r="AB29" i="1"/>
  <c r="AC29" i="1"/>
  <c r="AD29" i="1"/>
  <c r="AE29" i="1"/>
  <c r="AF29" i="1"/>
  <c r="AG29" i="1"/>
  <c r="V30" i="1"/>
  <c r="W30" i="1"/>
  <c r="X30" i="1"/>
  <c r="Y30" i="1"/>
  <c r="Z30" i="1"/>
  <c r="AA30" i="1"/>
  <c r="AB30" i="1"/>
  <c r="AC30" i="1"/>
  <c r="AD30" i="1"/>
  <c r="AE30" i="1"/>
  <c r="AF30" i="1"/>
  <c r="AG30" i="1"/>
  <c r="V31" i="1"/>
  <c r="W31" i="1"/>
  <c r="X31" i="1"/>
  <c r="Y31" i="1"/>
  <c r="Z31" i="1"/>
  <c r="AA31" i="1"/>
  <c r="AB31" i="1"/>
  <c r="AC31" i="1"/>
  <c r="AD31" i="1"/>
  <c r="AE31" i="1"/>
  <c r="AF31" i="1"/>
  <c r="AG31" i="1"/>
  <c r="V32" i="1"/>
  <c r="W32" i="1"/>
  <c r="X32" i="1"/>
  <c r="Y32" i="1"/>
  <c r="Z32" i="1"/>
  <c r="AA32" i="1"/>
  <c r="AB32" i="1"/>
  <c r="AC32" i="1"/>
  <c r="AD32" i="1"/>
  <c r="AE32" i="1"/>
  <c r="AF32" i="1"/>
  <c r="AG32" i="1"/>
  <c r="V33" i="1"/>
  <c r="W33" i="1"/>
  <c r="X33" i="1"/>
  <c r="Y33" i="1"/>
  <c r="Z33" i="1"/>
  <c r="AA33" i="1"/>
  <c r="AB33" i="1"/>
  <c r="AC33" i="1"/>
  <c r="AD33" i="1"/>
  <c r="AE33" i="1"/>
  <c r="AF33" i="1"/>
  <c r="AG33" i="1"/>
  <c r="V34" i="1"/>
  <c r="W34" i="1"/>
  <c r="X34" i="1"/>
  <c r="Y34" i="1"/>
  <c r="Z34" i="1"/>
  <c r="AA34" i="1"/>
  <c r="AB34" i="1"/>
  <c r="AC34" i="1"/>
  <c r="AD34" i="1"/>
  <c r="AE34" i="1"/>
  <c r="AF34" i="1"/>
  <c r="AG34" i="1"/>
  <c r="V35" i="1"/>
  <c r="W35" i="1"/>
  <c r="X35" i="1"/>
  <c r="Y35" i="1"/>
  <c r="Z35" i="1"/>
  <c r="AA35" i="1"/>
  <c r="AB35" i="1"/>
  <c r="AC35" i="1"/>
  <c r="AD35" i="1"/>
  <c r="AE35" i="1"/>
  <c r="AF35" i="1"/>
  <c r="AG35" i="1"/>
  <c r="V36" i="1"/>
  <c r="W36" i="1"/>
  <c r="X36" i="1"/>
  <c r="Y36" i="1"/>
  <c r="Z36" i="1"/>
  <c r="AA36" i="1"/>
  <c r="AB36" i="1"/>
  <c r="AC36" i="1"/>
  <c r="AD36" i="1"/>
  <c r="AE36" i="1"/>
  <c r="AF36" i="1"/>
  <c r="AG36" i="1"/>
  <c r="V37" i="1"/>
  <c r="W37" i="1"/>
  <c r="X37" i="1"/>
  <c r="Y37" i="1"/>
  <c r="Z37" i="1"/>
  <c r="AA37" i="1"/>
  <c r="AB37" i="1"/>
  <c r="AC37" i="1"/>
  <c r="AD37" i="1"/>
  <c r="AE37" i="1"/>
  <c r="AF37" i="1"/>
  <c r="AG37" i="1"/>
  <c r="V38" i="1"/>
  <c r="W38" i="1"/>
  <c r="X38" i="1"/>
  <c r="Y38" i="1"/>
  <c r="Z38" i="1"/>
  <c r="AA38" i="1"/>
  <c r="AB38" i="1"/>
  <c r="AC38" i="1"/>
  <c r="AD38" i="1"/>
  <c r="AE38" i="1"/>
  <c r="AF38" i="1"/>
  <c r="AG38" i="1"/>
  <c r="V39" i="1"/>
  <c r="W39" i="1"/>
  <c r="X39" i="1"/>
  <c r="Y39" i="1"/>
  <c r="Z39" i="1"/>
  <c r="AA39" i="1"/>
  <c r="AB39" i="1"/>
  <c r="AC39" i="1"/>
  <c r="AD39" i="1"/>
  <c r="AE39" i="1"/>
  <c r="AF39" i="1"/>
  <c r="AG39" i="1"/>
  <c r="V40" i="1"/>
  <c r="W40" i="1"/>
  <c r="X40" i="1"/>
  <c r="Y40" i="1"/>
  <c r="Z40" i="1"/>
  <c r="AA40" i="1"/>
  <c r="AB40" i="1"/>
  <c r="AC40" i="1"/>
  <c r="AD40" i="1"/>
  <c r="AE40" i="1"/>
  <c r="AF40" i="1"/>
  <c r="AG40" i="1"/>
  <c r="V41" i="1"/>
  <c r="W41" i="1"/>
  <c r="X41" i="1"/>
  <c r="Y41" i="1"/>
  <c r="Z41" i="1"/>
  <c r="AA41" i="1"/>
  <c r="AB41" i="1"/>
  <c r="AC41" i="1"/>
  <c r="AD41" i="1"/>
  <c r="AE41" i="1"/>
  <c r="AF41" i="1"/>
  <c r="AG41" i="1"/>
  <c r="V42" i="1"/>
  <c r="W42" i="1"/>
  <c r="X42" i="1"/>
  <c r="Y42" i="1"/>
  <c r="Z42" i="1"/>
  <c r="AA42" i="1"/>
  <c r="AB42" i="1"/>
  <c r="AC42" i="1"/>
  <c r="AD42" i="1"/>
  <c r="AE42" i="1"/>
  <c r="AF42" i="1"/>
  <c r="AG42" i="1"/>
  <c r="V43" i="1"/>
  <c r="W43" i="1"/>
  <c r="X43" i="1"/>
  <c r="Y43" i="1"/>
  <c r="Z43" i="1"/>
  <c r="AA43" i="1"/>
  <c r="AB43" i="1"/>
  <c r="AC43" i="1"/>
  <c r="AD43" i="1"/>
  <c r="AE43" i="1"/>
  <c r="AF43" i="1"/>
  <c r="AG43" i="1"/>
  <c r="V44" i="1"/>
  <c r="W44" i="1"/>
  <c r="X44" i="1"/>
  <c r="Y44" i="1"/>
  <c r="Z44" i="1"/>
  <c r="AA44" i="1"/>
  <c r="AB44" i="1"/>
  <c r="AC44" i="1"/>
  <c r="AD44" i="1"/>
  <c r="AE44" i="1"/>
  <c r="AF44" i="1"/>
  <c r="AG44" i="1"/>
  <c r="V45" i="1"/>
  <c r="W45" i="1"/>
  <c r="X45" i="1"/>
  <c r="Y45" i="1"/>
  <c r="Z45" i="1"/>
  <c r="AA45" i="1"/>
  <c r="AB45" i="1"/>
  <c r="AC45" i="1"/>
  <c r="AD45" i="1"/>
  <c r="AE45" i="1"/>
  <c r="AF45" i="1"/>
  <c r="AG45" i="1"/>
  <c r="V46" i="1"/>
  <c r="W46" i="1"/>
  <c r="X46" i="1"/>
  <c r="Y46" i="1"/>
  <c r="Z46" i="1"/>
  <c r="AA46" i="1"/>
  <c r="AB46" i="1"/>
  <c r="AC46" i="1"/>
  <c r="AD46" i="1"/>
  <c r="AE46" i="1"/>
  <c r="AF46" i="1"/>
  <c r="AG46" i="1"/>
  <c r="V47" i="1"/>
  <c r="W47" i="1"/>
  <c r="X47" i="1"/>
  <c r="Y47" i="1"/>
  <c r="Z47" i="1"/>
  <c r="AA47" i="1"/>
  <c r="AB47" i="1"/>
  <c r="AC47" i="1"/>
  <c r="AD47" i="1"/>
  <c r="AE47" i="1"/>
  <c r="AF47" i="1"/>
  <c r="AG47" i="1"/>
  <c r="V48" i="1"/>
  <c r="W48" i="1"/>
  <c r="X48" i="1"/>
  <c r="Y48" i="1"/>
  <c r="Z48" i="1"/>
  <c r="AA48" i="1"/>
  <c r="AB48" i="1"/>
  <c r="AC48" i="1"/>
  <c r="AD48" i="1"/>
  <c r="AE48" i="1"/>
  <c r="AF48" i="1"/>
  <c r="AG48" i="1"/>
  <c r="V49" i="1"/>
  <c r="W49" i="1"/>
  <c r="X49" i="1"/>
  <c r="Y49" i="1"/>
  <c r="Z49" i="1"/>
  <c r="AA49" i="1"/>
  <c r="AB49" i="1"/>
  <c r="AC49" i="1"/>
  <c r="AD49" i="1"/>
  <c r="AE49" i="1"/>
  <c r="AF49" i="1"/>
  <c r="AG49" i="1"/>
  <c r="V50" i="1"/>
  <c r="W50" i="1"/>
  <c r="X50" i="1"/>
  <c r="Y50" i="1"/>
  <c r="Z50" i="1"/>
  <c r="AA50" i="1"/>
  <c r="AB50" i="1"/>
  <c r="AC50" i="1"/>
  <c r="AD50" i="1"/>
  <c r="AE50" i="1"/>
  <c r="AF50" i="1"/>
  <c r="AG50" i="1"/>
  <c r="V51" i="1"/>
  <c r="W51" i="1"/>
  <c r="X51" i="1"/>
  <c r="Y51" i="1"/>
  <c r="Z51" i="1"/>
  <c r="AA51" i="1"/>
  <c r="AB51" i="1"/>
  <c r="AC51" i="1"/>
  <c r="AD51" i="1"/>
  <c r="AE51" i="1"/>
  <c r="AF51" i="1"/>
  <c r="AG51" i="1"/>
  <c r="V52" i="1"/>
  <c r="W52" i="1"/>
  <c r="X52" i="1"/>
  <c r="Y52" i="1"/>
  <c r="Z52" i="1"/>
  <c r="AA52" i="1"/>
  <c r="AB52" i="1"/>
  <c r="AC52" i="1"/>
  <c r="AD52" i="1"/>
  <c r="AE52" i="1"/>
  <c r="AF52" i="1"/>
  <c r="AG52" i="1"/>
  <c r="V53" i="1"/>
  <c r="W53" i="1"/>
  <c r="X53" i="1"/>
  <c r="Y53" i="1"/>
  <c r="Z53" i="1"/>
  <c r="AA53" i="1"/>
  <c r="AB53" i="1"/>
  <c r="AC53" i="1"/>
  <c r="AD53" i="1"/>
  <c r="AE53" i="1"/>
  <c r="AF53" i="1"/>
  <c r="AG53" i="1"/>
  <c r="V54" i="1"/>
  <c r="W54" i="1"/>
  <c r="X54" i="1"/>
  <c r="Y54" i="1"/>
  <c r="Z54" i="1"/>
  <c r="AA54" i="1"/>
  <c r="AB54" i="1"/>
  <c r="AC54" i="1"/>
  <c r="AD54" i="1"/>
  <c r="AE54" i="1"/>
  <c r="AF54" i="1"/>
  <c r="AG54" i="1"/>
  <c r="V55" i="1"/>
  <c r="W55" i="1"/>
  <c r="X55" i="1"/>
  <c r="Y55" i="1"/>
  <c r="Z55" i="1"/>
  <c r="AA55" i="1"/>
  <c r="AB55" i="1"/>
  <c r="AC55" i="1"/>
  <c r="AD55" i="1"/>
  <c r="AE55" i="1"/>
  <c r="AF55" i="1"/>
  <c r="AG55" i="1"/>
  <c r="V56" i="1"/>
  <c r="W56" i="1"/>
  <c r="X56" i="1"/>
  <c r="Y56" i="1"/>
  <c r="Z56" i="1"/>
  <c r="AA56" i="1"/>
  <c r="AB56" i="1"/>
  <c r="AC56" i="1"/>
  <c r="AD56" i="1"/>
  <c r="AE56" i="1"/>
  <c r="AF56" i="1"/>
  <c r="AG56" i="1"/>
  <c r="V57" i="1"/>
  <c r="W57" i="1"/>
  <c r="X57" i="1"/>
  <c r="Y57" i="1"/>
  <c r="Z57" i="1"/>
  <c r="AA57" i="1"/>
  <c r="AB57" i="1"/>
  <c r="AC57" i="1"/>
  <c r="AD57" i="1"/>
  <c r="AE57" i="1"/>
  <c r="AF57" i="1"/>
  <c r="AG57" i="1"/>
  <c r="V58" i="1"/>
  <c r="W58" i="1"/>
  <c r="X58" i="1"/>
  <c r="Y58" i="1"/>
  <c r="Z58" i="1"/>
  <c r="AA58" i="1"/>
  <c r="AB58" i="1"/>
  <c r="AC58" i="1"/>
  <c r="AD58" i="1"/>
  <c r="AE58" i="1"/>
  <c r="AF58" i="1"/>
  <c r="AG58" i="1"/>
  <c r="V59" i="1"/>
  <c r="W59" i="1"/>
  <c r="X59" i="1"/>
  <c r="Y59" i="1"/>
  <c r="Z59" i="1"/>
  <c r="AA59" i="1"/>
  <c r="AB59" i="1"/>
  <c r="AC59" i="1"/>
  <c r="AD59" i="1"/>
  <c r="AE59" i="1"/>
  <c r="AF59" i="1"/>
  <c r="AG59" i="1"/>
  <c r="V60" i="1"/>
  <c r="W60" i="1"/>
  <c r="X60" i="1"/>
  <c r="Y60" i="1"/>
  <c r="Z60" i="1"/>
  <c r="AA60" i="1"/>
  <c r="AB60" i="1"/>
  <c r="AC60" i="1"/>
  <c r="AD60" i="1"/>
  <c r="AE60" i="1"/>
  <c r="AF60" i="1"/>
  <c r="AG60" i="1"/>
  <c r="V61" i="1"/>
  <c r="W61" i="1"/>
  <c r="X61" i="1"/>
  <c r="Y61" i="1"/>
  <c r="Z61" i="1"/>
  <c r="AA61" i="1"/>
  <c r="AB61" i="1"/>
  <c r="AC61" i="1"/>
  <c r="AD61" i="1"/>
  <c r="AE61" i="1"/>
  <c r="AF61" i="1"/>
  <c r="AG61" i="1"/>
  <c r="V62" i="1"/>
  <c r="W62" i="1"/>
  <c r="X62" i="1"/>
  <c r="Y62" i="1"/>
  <c r="Z62" i="1"/>
  <c r="AA62" i="1"/>
  <c r="AB62" i="1"/>
  <c r="AC62" i="1"/>
  <c r="AD62" i="1"/>
  <c r="AE62" i="1"/>
  <c r="AF62" i="1"/>
  <c r="AG62" i="1"/>
  <c r="V63" i="1"/>
  <c r="W63" i="1"/>
  <c r="X63" i="1"/>
  <c r="Y63" i="1"/>
  <c r="Z63" i="1"/>
  <c r="AA63" i="1"/>
  <c r="AB63" i="1"/>
  <c r="AC63" i="1"/>
  <c r="AD63" i="1"/>
  <c r="AE63" i="1"/>
  <c r="AF63" i="1"/>
  <c r="AG63" i="1"/>
  <c r="V64" i="1"/>
  <c r="W64" i="1"/>
  <c r="X64" i="1"/>
  <c r="Y64" i="1"/>
  <c r="Z64" i="1"/>
  <c r="AA64" i="1"/>
  <c r="AB64" i="1"/>
  <c r="AC64" i="1"/>
  <c r="AD64" i="1"/>
  <c r="AE64" i="1"/>
  <c r="AF64" i="1"/>
  <c r="AG64" i="1"/>
  <c r="V65" i="1"/>
  <c r="W65" i="1"/>
  <c r="X65" i="1"/>
  <c r="Y65" i="1"/>
  <c r="Z65" i="1"/>
  <c r="AA65" i="1"/>
  <c r="AB65" i="1"/>
  <c r="AC65" i="1"/>
  <c r="AD65" i="1"/>
  <c r="AE65" i="1"/>
  <c r="AF65" i="1"/>
  <c r="AG65" i="1"/>
  <c r="V66" i="1"/>
  <c r="W66" i="1"/>
  <c r="X66" i="1"/>
  <c r="Y66" i="1"/>
  <c r="Z66" i="1"/>
  <c r="AA66" i="1"/>
  <c r="AB66" i="1"/>
  <c r="AC66" i="1"/>
  <c r="AD66" i="1"/>
  <c r="AE66" i="1"/>
  <c r="AF66" i="1"/>
  <c r="AG66" i="1"/>
  <c r="V67" i="1"/>
  <c r="W67" i="1"/>
  <c r="X67" i="1"/>
  <c r="Y67" i="1"/>
  <c r="Z67" i="1"/>
  <c r="AA67" i="1"/>
  <c r="AB67" i="1"/>
  <c r="AC67" i="1"/>
  <c r="AD67" i="1"/>
  <c r="AE67" i="1"/>
  <c r="AF67" i="1"/>
  <c r="AG67" i="1"/>
  <c r="V68" i="1"/>
  <c r="W68" i="1"/>
  <c r="X68" i="1"/>
  <c r="Y68" i="1"/>
  <c r="Z68" i="1"/>
  <c r="AA68" i="1"/>
  <c r="AB68" i="1"/>
  <c r="AC68" i="1"/>
  <c r="AD68" i="1"/>
  <c r="AE68" i="1"/>
  <c r="AF68" i="1"/>
  <c r="AG68" i="1"/>
  <c r="V69" i="1"/>
  <c r="W69" i="1"/>
  <c r="X69" i="1"/>
  <c r="Y69" i="1"/>
  <c r="Z69" i="1"/>
  <c r="AA69" i="1"/>
  <c r="AB69" i="1"/>
  <c r="AC69" i="1"/>
  <c r="AD69" i="1"/>
  <c r="AE69" i="1"/>
  <c r="AF69" i="1"/>
  <c r="AG69" i="1"/>
  <c r="V70" i="1"/>
  <c r="W70" i="1"/>
  <c r="X70" i="1"/>
  <c r="Y70" i="1"/>
  <c r="Z70" i="1"/>
  <c r="AA70" i="1"/>
  <c r="AB70" i="1"/>
  <c r="AC70" i="1"/>
  <c r="AD70" i="1"/>
  <c r="AE70" i="1"/>
  <c r="AF70" i="1"/>
  <c r="AG70" i="1"/>
  <c r="V71" i="1"/>
  <c r="W71" i="1"/>
  <c r="X71" i="1"/>
  <c r="Y71" i="1"/>
  <c r="Z71" i="1"/>
  <c r="AA71" i="1"/>
  <c r="AB71" i="1"/>
  <c r="AC71" i="1"/>
  <c r="AD71" i="1"/>
  <c r="AE71" i="1"/>
  <c r="AF71" i="1"/>
  <c r="AG71" i="1"/>
  <c r="V72" i="1"/>
  <c r="W72" i="1"/>
  <c r="X72" i="1"/>
  <c r="Y72" i="1"/>
  <c r="Z72" i="1"/>
  <c r="AA72" i="1"/>
  <c r="AB72" i="1"/>
  <c r="AC72" i="1"/>
  <c r="AD72" i="1"/>
  <c r="AE72" i="1"/>
  <c r="AF72" i="1"/>
  <c r="AG72" i="1"/>
  <c r="V73" i="1"/>
  <c r="W73" i="1"/>
  <c r="X73" i="1"/>
  <c r="Y73" i="1"/>
  <c r="Z73" i="1"/>
  <c r="AA73" i="1"/>
  <c r="AB73" i="1"/>
  <c r="AC73" i="1"/>
  <c r="AD73" i="1"/>
  <c r="AE73" i="1"/>
  <c r="AF73" i="1"/>
  <c r="AG73" i="1"/>
  <c r="V74" i="1"/>
  <c r="W74" i="1"/>
  <c r="X74" i="1"/>
  <c r="Y74" i="1"/>
  <c r="Z74" i="1"/>
  <c r="AA74" i="1"/>
  <c r="AB74" i="1"/>
  <c r="AC74" i="1"/>
  <c r="AD74" i="1"/>
  <c r="AE74" i="1"/>
  <c r="AF74" i="1"/>
  <c r="AG74" i="1"/>
  <c r="V75" i="1"/>
  <c r="W75" i="1"/>
  <c r="X75" i="1"/>
  <c r="Y75" i="1"/>
  <c r="Z75" i="1"/>
  <c r="AA75" i="1"/>
  <c r="AB75" i="1"/>
  <c r="AC75" i="1"/>
  <c r="AD75" i="1"/>
  <c r="AE75" i="1"/>
  <c r="AF75" i="1"/>
  <c r="AG75" i="1"/>
  <c r="V76" i="1"/>
  <c r="W76" i="1"/>
  <c r="X76" i="1"/>
  <c r="Y76" i="1"/>
  <c r="Z76" i="1"/>
  <c r="AA76" i="1"/>
  <c r="AB76" i="1"/>
  <c r="AC76" i="1"/>
  <c r="AD76" i="1"/>
  <c r="AE76" i="1"/>
  <c r="AF76" i="1"/>
  <c r="AG76" i="1"/>
  <c r="V77" i="1"/>
  <c r="W77" i="1"/>
  <c r="X77" i="1"/>
  <c r="Y77" i="1"/>
  <c r="Z77" i="1"/>
  <c r="AA77" i="1"/>
  <c r="AB77" i="1"/>
  <c r="AC77" i="1"/>
  <c r="AD77" i="1"/>
  <c r="AE77" i="1"/>
  <c r="AF77" i="1"/>
  <c r="AG77" i="1"/>
  <c r="V78" i="1"/>
  <c r="W78" i="1"/>
  <c r="X78" i="1"/>
  <c r="Y78" i="1"/>
  <c r="Z78" i="1"/>
  <c r="AA78" i="1"/>
  <c r="AB78" i="1"/>
  <c r="AC78" i="1"/>
  <c r="AD78" i="1"/>
  <c r="AE78" i="1"/>
  <c r="AF78" i="1"/>
  <c r="AG78" i="1"/>
  <c r="V79" i="1"/>
  <c r="W79" i="1"/>
  <c r="X79" i="1"/>
  <c r="Y79" i="1"/>
  <c r="Z79" i="1"/>
  <c r="AA79" i="1"/>
  <c r="AB79" i="1"/>
  <c r="AC79" i="1"/>
  <c r="AD79" i="1"/>
  <c r="AE79" i="1"/>
  <c r="AF79" i="1"/>
  <c r="AG79" i="1"/>
  <c r="V80" i="1"/>
  <c r="W80" i="1"/>
  <c r="X80" i="1"/>
  <c r="Y80" i="1"/>
  <c r="Z80" i="1"/>
  <c r="AA80" i="1"/>
  <c r="AB80" i="1"/>
  <c r="AC80" i="1"/>
  <c r="AD80" i="1"/>
  <c r="AE80" i="1"/>
  <c r="AF80" i="1"/>
  <c r="AG80" i="1"/>
  <c r="V81" i="1"/>
  <c r="W81" i="1"/>
  <c r="X81" i="1"/>
  <c r="Y81" i="1"/>
  <c r="Z81" i="1"/>
  <c r="AA81" i="1"/>
  <c r="AB81" i="1"/>
  <c r="AC81" i="1"/>
  <c r="AD81" i="1"/>
  <c r="AE81" i="1"/>
  <c r="AF81" i="1"/>
  <c r="AG81" i="1"/>
  <c r="V82" i="1"/>
  <c r="W82" i="1"/>
  <c r="X82" i="1"/>
  <c r="Y82" i="1"/>
  <c r="Z82" i="1"/>
  <c r="AA82" i="1"/>
  <c r="AB82" i="1"/>
  <c r="AC82" i="1"/>
  <c r="AD82" i="1"/>
  <c r="AE82" i="1"/>
  <c r="AF82" i="1"/>
  <c r="AG82" i="1"/>
  <c r="V83" i="1"/>
  <c r="W83" i="1"/>
  <c r="X83" i="1"/>
  <c r="Y83" i="1"/>
  <c r="Z83" i="1"/>
  <c r="AA83" i="1"/>
  <c r="AB83" i="1"/>
  <c r="AC83" i="1"/>
  <c r="AD83" i="1"/>
  <c r="AE83" i="1"/>
  <c r="AF83" i="1"/>
  <c r="AG83" i="1"/>
  <c r="V84" i="1"/>
  <c r="W84" i="1"/>
  <c r="X84" i="1"/>
  <c r="Y84" i="1"/>
  <c r="Z84" i="1"/>
  <c r="AA84" i="1"/>
  <c r="AB84" i="1"/>
  <c r="AC84" i="1"/>
  <c r="AD84" i="1"/>
  <c r="AE84" i="1"/>
  <c r="AF84" i="1"/>
  <c r="AG84" i="1"/>
  <c r="V85" i="1"/>
  <c r="W85" i="1"/>
  <c r="X85" i="1"/>
  <c r="Y85" i="1"/>
  <c r="Z85" i="1"/>
  <c r="AA85" i="1"/>
  <c r="AB85" i="1"/>
  <c r="AC85" i="1"/>
  <c r="AD85" i="1"/>
  <c r="AE85" i="1"/>
  <c r="AF85" i="1"/>
  <c r="AG85" i="1"/>
  <c r="V86" i="1"/>
  <c r="W86" i="1"/>
  <c r="X86" i="1"/>
  <c r="Y86" i="1"/>
  <c r="Z86" i="1"/>
  <c r="AA86" i="1"/>
  <c r="AB86" i="1"/>
  <c r="AC86" i="1"/>
  <c r="AD86" i="1"/>
  <c r="AE86" i="1"/>
  <c r="AF86" i="1"/>
  <c r="AG86" i="1"/>
  <c r="V87" i="1"/>
  <c r="W87" i="1"/>
  <c r="X87" i="1"/>
  <c r="Y87" i="1"/>
  <c r="Z87" i="1"/>
  <c r="AA87" i="1"/>
  <c r="AB87" i="1"/>
  <c r="AC87" i="1"/>
  <c r="AD87" i="1"/>
  <c r="AE87" i="1"/>
  <c r="AF87" i="1"/>
  <c r="AG87" i="1"/>
  <c r="V88" i="1"/>
  <c r="W88" i="1"/>
  <c r="X88" i="1"/>
  <c r="Y88" i="1"/>
  <c r="Z88" i="1"/>
  <c r="AA88" i="1"/>
  <c r="AB88" i="1"/>
  <c r="AC88" i="1"/>
  <c r="AD88" i="1"/>
  <c r="AE88" i="1"/>
  <c r="AF88" i="1"/>
  <c r="AG88" i="1"/>
  <c r="V89" i="1"/>
  <c r="W89" i="1"/>
  <c r="X89" i="1"/>
  <c r="Y89" i="1"/>
  <c r="Z89" i="1"/>
  <c r="AA89" i="1"/>
  <c r="AB89" i="1"/>
  <c r="AC89" i="1"/>
  <c r="AD89" i="1"/>
  <c r="AE89" i="1"/>
  <c r="AF89" i="1"/>
  <c r="AG89" i="1"/>
  <c r="V90" i="1"/>
  <c r="W90" i="1"/>
  <c r="X90" i="1"/>
  <c r="Y90" i="1"/>
  <c r="Z90" i="1"/>
  <c r="AA90" i="1"/>
  <c r="AB90" i="1"/>
  <c r="AC90" i="1"/>
  <c r="AD90" i="1"/>
  <c r="AE90" i="1"/>
  <c r="AF90" i="1"/>
  <c r="AG90" i="1"/>
  <c r="V91" i="1"/>
  <c r="W91" i="1"/>
  <c r="X91" i="1"/>
  <c r="Y91" i="1"/>
  <c r="Z91" i="1"/>
  <c r="AA91" i="1"/>
  <c r="AB91" i="1"/>
  <c r="AC91" i="1"/>
  <c r="AD91" i="1"/>
  <c r="AE91" i="1"/>
  <c r="AF91" i="1"/>
  <c r="AG91" i="1"/>
  <c r="V92" i="1"/>
  <c r="W92" i="1"/>
  <c r="X92" i="1"/>
  <c r="Y92" i="1"/>
  <c r="Z92" i="1"/>
  <c r="AA92" i="1"/>
  <c r="AB92" i="1"/>
  <c r="AC92" i="1"/>
  <c r="AD92" i="1"/>
  <c r="AE92" i="1"/>
  <c r="AF92" i="1"/>
  <c r="AG92" i="1"/>
  <c r="V93" i="1"/>
  <c r="W93" i="1"/>
  <c r="X93" i="1"/>
  <c r="Y93" i="1"/>
  <c r="Z93" i="1"/>
  <c r="AA93" i="1"/>
  <c r="AB93" i="1"/>
  <c r="AC93" i="1"/>
  <c r="AD93" i="1"/>
  <c r="AE93" i="1"/>
  <c r="AF93" i="1"/>
  <c r="AG93" i="1"/>
  <c r="V94" i="1"/>
  <c r="W94" i="1"/>
  <c r="X94" i="1"/>
  <c r="Y94" i="1"/>
  <c r="Z94" i="1"/>
  <c r="AA94" i="1"/>
  <c r="AB94" i="1"/>
  <c r="AC94" i="1"/>
  <c r="AD94" i="1"/>
  <c r="AE94" i="1"/>
  <c r="AF94" i="1"/>
  <c r="AG94" i="1"/>
  <c r="V95" i="1"/>
  <c r="W95" i="1"/>
  <c r="X95" i="1"/>
  <c r="Y95" i="1"/>
  <c r="Z95" i="1"/>
  <c r="AA95" i="1"/>
  <c r="AB95" i="1"/>
  <c r="AC95" i="1"/>
  <c r="AD95" i="1"/>
  <c r="AE95" i="1"/>
  <c r="AF95" i="1"/>
  <c r="AG95" i="1"/>
  <c r="V96" i="1"/>
  <c r="W96" i="1"/>
  <c r="X96" i="1"/>
  <c r="Y96" i="1"/>
  <c r="Z96" i="1"/>
  <c r="AA96" i="1"/>
  <c r="AB96" i="1"/>
  <c r="AC96" i="1"/>
  <c r="AD96" i="1"/>
  <c r="AE96" i="1"/>
  <c r="AF96" i="1"/>
  <c r="AG96" i="1"/>
  <c r="V97" i="1"/>
  <c r="W97" i="1"/>
  <c r="X97" i="1"/>
  <c r="Y97" i="1"/>
  <c r="Z97" i="1"/>
  <c r="AA97" i="1"/>
  <c r="AB97" i="1"/>
  <c r="AC97" i="1"/>
  <c r="AD97" i="1"/>
  <c r="AE97" i="1"/>
  <c r="AF97" i="1"/>
  <c r="AG97" i="1"/>
  <c r="V98" i="1"/>
  <c r="W98" i="1"/>
  <c r="X98" i="1"/>
  <c r="Y98" i="1"/>
  <c r="Z98" i="1"/>
  <c r="AA98" i="1"/>
  <c r="AB98" i="1"/>
  <c r="AC98" i="1"/>
  <c r="AD98" i="1"/>
  <c r="AE98" i="1"/>
  <c r="AF98" i="1"/>
  <c r="AG98" i="1"/>
  <c r="V99" i="1"/>
  <c r="W99" i="1"/>
  <c r="X99" i="1"/>
  <c r="Y99" i="1"/>
  <c r="Z99" i="1"/>
  <c r="AA99" i="1"/>
  <c r="AB99" i="1"/>
  <c r="AC99" i="1"/>
  <c r="AD99" i="1"/>
  <c r="AE99" i="1"/>
  <c r="AF99" i="1"/>
  <c r="AG99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U110" i="1"/>
  <c r="T110" i="1"/>
  <c r="S110" i="1"/>
  <c r="R110" i="1"/>
  <c r="Q110" i="1"/>
  <c r="P110" i="1"/>
  <c r="O110" i="1"/>
  <c r="N110" i="1"/>
  <c r="M110" i="1"/>
  <c r="L110" i="1"/>
  <c r="K110" i="1"/>
  <c r="U109" i="1"/>
  <c r="T109" i="1"/>
  <c r="S109" i="1"/>
  <c r="R109" i="1"/>
  <c r="Q109" i="1"/>
  <c r="P109" i="1"/>
  <c r="O109" i="1"/>
  <c r="N109" i="1"/>
  <c r="M109" i="1"/>
  <c r="L109" i="1"/>
  <c r="K109" i="1"/>
  <c r="U108" i="1"/>
  <c r="T108" i="1"/>
  <c r="S108" i="1"/>
  <c r="R108" i="1"/>
  <c r="Q108" i="1"/>
  <c r="P108" i="1"/>
  <c r="O108" i="1"/>
  <c r="N108" i="1"/>
  <c r="M108" i="1"/>
  <c r="L108" i="1"/>
  <c r="K108" i="1"/>
  <c r="U107" i="1"/>
  <c r="T107" i="1"/>
  <c r="S107" i="1"/>
  <c r="R107" i="1"/>
  <c r="Q107" i="1"/>
  <c r="P107" i="1"/>
  <c r="O107" i="1"/>
  <c r="N107" i="1"/>
  <c r="M107" i="1"/>
  <c r="L107" i="1"/>
  <c r="K107" i="1"/>
  <c r="U106" i="1"/>
  <c r="T106" i="1"/>
  <c r="S106" i="1"/>
  <c r="R106" i="1"/>
  <c r="Q106" i="1"/>
  <c r="P106" i="1"/>
  <c r="O106" i="1"/>
  <c r="N106" i="1"/>
  <c r="M106" i="1"/>
  <c r="L106" i="1"/>
  <c r="K106" i="1"/>
  <c r="U105" i="1"/>
  <c r="T105" i="1"/>
  <c r="S105" i="1"/>
  <c r="R105" i="1"/>
  <c r="Q105" i="1"/>
  <c r="P105" i="1"/>
  <c r="O105" i="1"/>
  <c r="N105" i="1"/>
  <c r="M105" i="1"/>
  <c r="L105" i="1"/>
  <c r="K105" i="1"/>
  <c r="U104" i="1"/>
  <c r="T104" i="1"/>
  <c r="S104" i="1"/>
  <c r="R104" i="1"/>
  <c r="Q104" i="1"/>
  <c r="P104" i="1"/>
  <c r="O104" i="1"/>
  <c r="N104" i="1"/>
  <c r="M104" i="1"/>
  <c r="L104" i="1"/>
  <c r="K104" i="1"/>
  <c r="U103" i="1"/>
  <c r="T103" i="1"/>
  <c r="S103" i="1"/>
  <c r="R103" i="1"/>
  <c r="Q103" i="1"/>
  <c r="P103" i="1"/>
  <c r="O103" i="1"/>
  <c r="N103" i="1"/>
  <c r="M103" i="1"/>
  <c r="L103" i="1"/>
  <c r="K103" i="1"/>
  <c r="U102" i="1"/>
  <c r="T102" i="1"/>
  <c r="S102" i="1"/>
  <c r="R102" i="1"/>
  <c r="Q102" i="1"/>
  <c r="P102" i="1"/>
  <c r="O102" i="1"/>
  <c r="N102" i="1"/>
  <c r="M102" i="1"/>
  <c r="L102" i="1"/>
  <c r="K102" i="1"/>
  <c r="U101" i="1"/>
  <c r="T101" i="1"/>
  <c r="S101" i="1"/>
  <c r="R101" i="1"/>
  <c r="Q101" i="1"/>
  <c r="P101" i="1"/>
  <c r="O101" i="1"/>
  <c r="N101" i="1"/>
  <c r="M101" i="1"/>
  <c r="L101" i="1"/>
  <c r="K101" i="1"/>
  <c r="U100" i="1"/>
  <c r="T100" i="1"/>
  <c r="S100" i="1"/>
  <c r="R100" i="1"/>
  <c r="Q100" i="1"/>
  <c r="P100" i="1"/>
  <c r="O100" i="1"/>
  <c r="N100" i="1"/>
  <c r="M100" i="1"/>
  <c r="L100" i="1"/>
  <c r="K100" i="1"/>
  <c r="U99" i="1"/>
  <c r="T99" i="1"/>
  <c r="S99" i="1"/>
  <c r="R99" i="1"/>
  <c r="Q99" i="1"/>
  <c r="P99" i="1"/>
  <c r="O99" i="1"/>
  <c r="N99" i="1"/>
  <c r="M99" i="1"/>
  <c r="L99" i="1"/>
  <c r="K99" i="1"/>
  <c r="U98" i="1"/>
  <c r="T98" i="1"/>
  <c r="S98" i="1"/>
  <c r="R98" i="1"/>
  <c r="Q98" i="1"/>
  <c r="P98" i="1"/>
  <c r="O98" i="1"/>
  <c r="N98" i="1"/>
  <c r="M98" i="1"/>
  <c r="L98" i="1"/>
  <c r="K98" i="1"/>
  <c r="U97" i="1"/>
  <c r="T97" i="1"/>
  <c r="S97" i="1"/>
  <c r="R97" i="1"/>
  <c r="Q97" i="1"/>
  <c r="P97" i="1"/>
  <c r="O97" i="1"/>
  <c r="N97" i="1"/>
  <c r="M97" i="1"/>
  <c r="L97" i="1"/>
  <c r="K97" i="1"/>
  <c r="U96" i="1"/>
  <c r="T96" i="1"/>
  <c r="S96" i="1"/>
  <c r="R96" i="1"/>
  <c r="Q96" i="1"/>
  <c r="P96" i="1"/>
  <c r="O96" i="1"/>
  <c r="N96" i="1"/>
  <c r="M96" i="1"/>
  <c r="L96" i="1"/>
  <c r="K96" i="1"/>
  <c r="U95" i="1"/>
  <c r="T95" i="1"/>
  <c r="S95" i="1"/>
  <c r="R95" i="1"/>
  <c r="Q95" i="1"/>
  <c r="P95" i="1"/>
  <c r="O95" i="1"/>
  <c r="N95" i="1"/>
  <c r="M95" i="1"/>
  <c r="L95" i="1"/>
  <c r="K95" i="1"/>
  <c r="U94" i="1"/>
  <c r="T94" i="1"/>
  <c r="S94" i="1"/>
  <c r="R94" i="1"/>
  <c r="Q94" i="1"/>
  <c r="P94" i="1"/>
  <c r="O94" i="1"/>
  <c r="N94" i="1"/>
  <c r="M94" i="1"/>
  <c r="L94" i="1"/>
  <c r="K94" i="1"/>
  <c r="U93" i="1"/>
  <c r="T93" i="1"/>
  <c r="S93" i="1"/>
  <c r="R93" i="1"/>
  <c r="Q93" i="1"/>
  <c r="P93" i="1"/>
  <c r="O93" i="1"/>
  <c r="N93" i="1"/>
  <c r="M93" i="1"/>
  <c r="L93" i="1"/>
  <c r="K93" i="1"/>
  <c r="U92" i="1"/>
  <c r="T92" i="1"/>
  <c r="S92" i="1"/>
  <c r="R92" i="1"/>
  <c r="Q92" i="1"/>
  <c r="P92" i="1"/>
  <c r="O92" i="1"/>
  <c r="N92" i="1"/>
  <c r="M92" i="1"/>
  <c r="L92" i="1"/>
  <c r="K92" i="1"/>
  <c r="U91" i="1"/>
  <c r="T91" i="1"/>
  <c r="S91" i="1"/>
  <c r="R91" i="1"/>
  <c r="Q91" i="1"/>
  <c r="P91" i="1"/>
  <c r="O91" i="1"/>
  <c r="N91" i="1"/>
  <c r="M91" i="1"/>
  <c r="L91" i="1"/>
  <c r="K91" i="1"/>
  <c r="U90" i="1"/>
  <c r="T90" i="1"/>
  <c r="S90" i="1"/>
  <c r="R90" i="1"/>
  <c r="Q90" i="1"/>
  <c r="P90" i="1"/>
  <c r="O90" i="1"/>
  <c r="N90" i="1"/>
  <c r="M90" i="1"/>
  <c r="L90" i="1"/>
  <c r="K90" i="1"/>
  <c r="U89" i="1"/>
  <c r="T89" i="1"/>
  <c r="S89" i="1"/>
  <c r="R89" i="1"/>
  <c r="Q89" i="1"/>
  <c r="P89" i="1"/>
  <c r="O89" i="1"/>
  <c r="N89" i="1"/>
  <c r="M89" i="1"/>
  <c r="L89" i="1"/>
  <c r="K89" i="1"/>
  <c r="U88" i="1"/>
  <c r="T88" i="1"/>
  <c r="S88" i="1"/>
  <c r="R88" i="1"/>
  <c r="Q88" i="1"/>
  <c r="P88" i="1"/>
  <c r="O88" i="1"/>
  <c r="N88" i="1"/>
  <c r="M88" i="1"/>
  <c r="L88" i="1"/>
  <c r="K88" i="1"/>
  <c r="U87" i="1"/>
  <c r="T87" i="1"/>
  <c r="S87" i="1"/>
  <c r="R87" i="1"/>
  <c r="Q87" i="1"/>
  <c r="P87" i="1"/>
  <c r="O87" i="1"/>
  <c r="N87" i="1"/>
  <c r="M87" i="1"/>
  <c r="L87" i="1"/>
  <c r="K87" i="1"/>
  <c r="U86" i="1"/>
  <c r="T86" i="1"/>
  <c r="S86" i="1"/>
  <c r="R86" i="1"/>
  <c r="Q86" i="1"/>
  <c r="P86" i="1"/>
  <c r="O86" i="1"/>
  <c r="N86" i="1"/>
  <c r="M86" i="1"/>
  <c r="L86" i="1"/>
  <c r="K86" i="1"/>
  <c r="U85" i="1"/>
  <c r="T85" i="1"/>
  <c r="S85" i="1"/>
  <c r="R85" i="1"/>
  <c r="Q85" i="1"/>
  <c r="P85" i="1"/>
  <c r="O85" i="1"/>
  <c r="N85" i="1"/>
  <c r="M85" i="1"/>
  <c r="L85" i="1"/>
  <c r="K85" i="1"/>
  <c r="U84" i="1"/>
  <c r="T84" i="1"/>
  <c r="S84" i="1"/>
  <c r="R84" i="1"/>
  <c r="Q84" i="1"/>
  <c r="P84" i="1"/>
  <c r="O84" i="1"/>
  <c r="N84" i="1"/>
  <c r="M84" i="1"/>
  <c r="L84" i="1"/>
  <c r="K84" i="1"/>
  <c r="U83" i="1"/>
  <c r="T83" i="1"/>
  <c r="S83" i="1"/>
  <c r="R83" i="1"/>
  <c r="Q83" i="1"/>
  <c r="P83" i="1"/>
  <c r="O83" i="1"/>
  <c r="N83" i="1"/>
  <c r="M83" i="1"/>
  <c r="L83" i="1"/>
  <c r="K83" i="1"/>
  <c r="U82" i="1"/>
  <c r="T82" i="1"/>
  <c r="S82" i="1"/>
  <c r="R82" i="1"/>
  <c r="Q82" i="1"/>
  <c r="P82" i="1"/>
  <c r="O82" i="1"/>
  <c r="N82" i="1"/>
  <c r="M82" i="1"/>
  <c r="L82" i="1"/>
  <c r="K82" i="1"/>
  <c r="U81" i="1"/>
  <c r="T81" i="1"/>
  <c r="S81" i="1"/>
  <c r="R81" i="1"/>
  <c r="Q81" i="1"/>
  <c r="P81" i="1"/>
  <c r="O81" i="1"/>
  <c r="N81" i="1"/>
  <c r="M81" i="1"/>
  <c r="L81" i="1"/>
  <c r="K81" i="1"/>
  <c r="U80" i="1"/>
  <c r="T80" i="1"/>
  <c r="S80" i="1"/>
  <c r="R80" i="1"/>
  <c r="Q80" i="1"/>
  <c r="P80" i="1"/>
  <c r="O80" i="1"/>
  <c r="N80" i="1"/>
  <c r="M80" i="1"/>
  <c r="L80" i="1"/>
  <c r="K80" i="1"/>
  <c r="U79" i="1"/>
  <c r="T79" i="1"/>
  <c r="S79" i="1"/>
  <c r="R79" i="1"/>
  <c r="Q79" i="1"/>
  <c r="P79" i="1"/>
  <c r="O79" i="1"/>
  <c r="N79" i="1"/>
  <c r="M79" i="1"/>
  <c r="L79" i="1"/>
  <c r="K79" i="1"/>
  <c r="U78" i="1"/>
  <c r="T78" i="1"/>
  <c r="S78" i="1"/>
  <c r="R78" i="1"/>
  <c r="Q78" i="1"/>
  <c r="P78" i="1"/>
  <c r="O78" i="1"/>
  <c r="N78" i="1"/>
  <c r="M78" i="1"/>
  <c r="L78" i="1"/>
  <c r="K78" i="1"/>
  <c r="U77" i="1"/>
  <c r="T77" i="1"/>
  <c r="S77" i="1"/>
  <c r="R77" i="1"/>
  <c r="Q77" i="1"/>
  <c r="P77" i="1"/>
  <c r="O77" i="1"/>
  <c r="N77" i="1"/>
  <c r="M77" i="1"/>
  <c r="L77" i="1"/>
  <c r="K77" i="1"/>
  <c r="U76" i="1"/>
  <c r="T76" i="1"/>
  <c r="S76" i="1"/>
  <c r="R76" i="1"/>
  <c r="Q76" i="1"/>
  <c r="P76" i="1"/>
  <c r="O76" i="1"/>
  <c r="N76" i="1"/>
  <c r="M76" i="1"/>
  <c r="L76" i="1"/>
  <c r="K76" i="1"/>
  <c r="U75" i="1"/>
  <c r="T75" i="1"/>
  <c r="S75" i="1"/>
  <c r="R75" i="1"/>
  <c r="Q75" i="1"/>
  <c r="P75" i="1"/>
  <c r="O75" i="1"/>
  <c r="N75" i="1"/>
  <c r="M75" i="1"/>
  <c r="L75" i="1"/>
  <c r="K75" i="1"/>
  <c r="U74" i="1"/>
  <c r="T74" i="1"/>
  <c r="S74" i="1"/>
  <c r="R74" i="1"/>
  <c r="Q74" i="1"/>
  <c r="P74" i="1"/>
  <c r="O74" i="1"/>
  <c r="N74" i="1"/>
  <c r="M74" i="1"/>
  <c r="L74" i="1"/>
  <c r="K74" i="1"/>
  <c r="U73" i="1"/>
  <c r="T73" i="1"/>
  <c r="S73" i="1"/>
  <c r="R73" i="1"/>
  <c r="Q73" i="1"/>
  <c r="P73" i="1"/>
  <c r="O73" i="1"/>
  <c r="N73" i="1"/>
  <c r="M73" i="1"/>
  <c r="L73" i="1"/>
  <c r="K73" i="1"/>
  <c r="U72" i="1"/>
  <c r="T72" i="1"/>
  <c r="S72" i="1"/>
  <c r="R72" i="1"/>
  <c r="Q72" i="1"/>
  <c r="P72" i="1"/>
  <c r="O72" i="1"/>
  <c r="N72" i="1"/>
  <c r="M72" i="1"/>
  <c r="L72" i="1"/>
  <c r="K72" i="1"/>
  <c r="U71" i="1"/>
  <c r="T71" i="1"/>
  <c r="S71" i="1"/>
  <c r="R71" i="1"/>
  <c r="Q71" i="1"/>
  <c r="P71" i="1"/>
  <c r="O71" i="1"/>
  <c r="N71" i="1"/>
  <c r="M71" i="1"/>
  <c r="L71" i="1"/>
  <c r="K71" i="1"/>
  <c r="U70" i="1"/>
  <c r="T70" i="1"/>
  <c r="S70" i="1"/>
  <c r="R70" i="1"/>
  <c r="Q70" i="1"/>
  <c r="P70" i="1"/>
  <c r="O70" i="1"/>
  <c r="N70" i="1"/>
  <c r="M70" i="1"/>
  <c r="L70" i="1"/>
  <c r="K70" i="1"/>
  <c r="U69" i="1"/>
  <c r="T69" i="1"/>
  <c r="S69" i="1"/>
  <c r="R69" i="1"/>
  <c r="Q69" i="1"/>
  <c r="P69" i="1"/>
  <c r="O69" i="1"/>
  <c r="N69" i="1"/>
  <c r="M69" i="1"/>
  <c r="L69" i="1"/>
  <c r="K69" i="1"/>
  <c r="U68" i="1"/>
  <c r="T68" i="1"/>
  <c r="S68" i="1"/>
  <c r="R68" i="1"/>
  <c r="Q68" i="1"/>
  <c r="P68" i="1"/>
  <c r="O68" i="1"/>
  <c r="N68" i="1"/>
  <c r="M68" i="1"/>
  <c r="L68" i="1"/>
  <c r="K68" i="1"/>
  <c r="U67" i="1"/>
  <c r="T67" i="1"/>
  <c r="S67" i="1"/>
  <c r="R67" i="1"/>
  <c r="Q67" i="1"/>
  <c r="P67" i="1"/>
  <c r="O67" i="1"/>
  <c r="N67" i="1"/>
  <c r="M67" i="1"/>
  <c r="L67" i="1"/>
  <c r="K67" i="1"/>
  <c r="U66" i="1"/>
  <c r="T66" i="1"/>
  <c r="S66" i="1"/>
  <c r="R66" i="1"/>
  <c r="Q66" i="1"/>
  <c r="P66" i="1"/>
  <c r="O66" i="1"/>
  <c r="N66" i="1"/>
  <c r="M66" i="1"/>
  <c r="L66" i="1"/>
  <c r="K66" i="1"/>
  <c r="U65" i="1"/>
  <c r="T65" i="1"/>
  <c r="S65" i="1"/>
  <c r="R65" i="1"/>
  <c r="Q65" i="1"/>
  <c r="P65" i="1"/>
  <c r="O65" i="1"/>
  <c r="N65" i="1"/>
  <c r="M65" i="1"/>
  <c r="L65" i="1"/>
  <c r="K65" i="1"/>
  <c r="U64" i="1"/>
  <c r="T64" i="1"/>
  <c r="S64" i="1"/>
  <c r="R64" i="1"/>
  <c r="Q64" i="1"/>
  <c r="P64" i="1"/>
  <c r="O64" i="1"/>
  <c r="N64" i="1"/>
  <c r="M64" i="1"/>
  <c r="L64" i="1"/>
  <c r="K64" i="1"/>
  <c r="U63" i="1"/>
  <c r="T63" i="1"/>
  <c r="S63" i="1"/>
  <c r="R63" i="1"/>
  <c r="Q63" i="1"/>
  <c r="P63" i="1"/>
  <c r="O63" i="1"/>
  <c r="N63" i="1"/>
  <c r="M63" i="1"/>
  <c r="L63" i="1"/>
  <c r="K63" i="1"/>
  <c r="U62" i="1"/>
  <c r="T62" i="1"/>
  <c r="S62" i="1"/>
  <c r="R62" i="1"/>
  <c r="Q62" i="1"/>
  <c r="P62" i="1"/>
  <c r="O62" i="1"/>
  <c r="N62" i="1"/>
  <c r="M62" i="1"/>
  <c r="L62" i="1"/>
  <c r="K62" i="1"/>
  <c r="U61" i="1"/>
  <c r="T61" i="1"/>
  <c r="S61" i="1"/>
  <c r="R61" i="1"/>
  <c r="Q61" i="1"/>
  <c r="P61" i="1"/>
  <c r="O61" i="1"/>
  <c r="N61" i="1"/>
  <c r="M61" i="1"/>
  <c r="L61" i="1"/>
  <c r="K61" i="1"/>
  <c r="U60" i="1"/>
  <c r="T60" i="1"/>
  <c r="S60" i="1"/>
  <c r="R60" i="1"/>
  <c r="Q60" i="1"/>
  <c r="P60" i="1"/>
  <c r="O60" i="1"/>
  <c r="N60" i="1"/>
  <c r="M60" i="1"/>
  <c r="L60" i="1"/>
  <c r="K60" i="1"/>
  <c r="U59" i="1"/>
  <c r="T59" i="1"/>
  <c r="S59" i="1"/>
  <c r="R59" i="1"/>
  <c r="Q59" i="1"/>
  <c r="P59" i="1"/>
  <c r="O59" i="1"/>
  <c r="N59" i="1"/>
  <c r="M59" i="1"/>
  <c r="L59" i="1"/>
  <c r="K59" i="1"/>
  <c r="U58" i="1"/>
  <c r="T58" i="1"/>
  <c r="S58" i="1"/>
  <c r="R58" i="1"/>
  <c r="Q58" i="1"/>
  <c r="P58" i="1"/>
  <c r="O58" i="1"/>
  <c r="N58" i="1"/>
  <c r="M58" i="1"/>
  <c r="L58" i="1"/>
  <c r="K58" i="1"/>
  <c r="U57" i="1"/>
  <c r="T57" i="1"/>
  <c r="S57" i="1"/>
  <c r="R57" i="1"/>
  <c r="Q57" i="1"/>
  <c r="P57" i="1"/>
  <c r="O57" i="1"/>
  <c r="N57" i="1"/>
  <c r="M57" i="1"/>
  <c r="L57" i="1"/>
  <c r="K57" i="1"/>
  <c r="U56" i="1"/>
  <c r="T56" i="1"/>
  <c r="S56" i="1"/>
  <c r="R56" i="1"/>
  <c r="Q56" i="1"/>
  <c r="P56" i="1"/>
  <c r="O56" i="1"/>
  <c r="N56" i="1"/>
  <c r="M56" i="1"/>
  <c r="L56" i="1"/>
  <c r="K56" i="1"/>
  <c r="U55" i="1"/>
  <c r="T55" i="1"/>
  <c r="S55" i="1"/>
  <c r="R55" i="1"/>
  <c r="Q55" i="1"/>
  <c r="P55" i="1"/>
  <c r="O55" i="1"/>
  <c r="N55" i="1"/>
  <c r="M55" i="1"/>
  <c r="L55" i="1"/>
  <c r="K55" i="1"/>
  <c r="U54" i="1"/>
  <c r="T54" i="1"/>
  <c r="S54" i="1"/>
  <c r="R54" i="1"/>
  <c r="Q54" i="1"/>
  <c r="P54" i="1"/>
  <c r="O54" i="1"/>
  <c r="N54" i="1"/>
  <c r="M54" i="1"/>
  <c r="L54" i="1"/>
  <c r="K54" i="1"/>
  <c r="U53" i="1"/>
  <c r="T53" i="1"/>
  <c r="S53" i="1"/>
  <c r="R53" i="1"/>
  <c r="Q53" i="1"/>
  <c r="P53" i="1"/>
  <c r="O53" i="1"/>
  <c r="N53" i="1"/>
  <c r="M53" i="1"/>
  <c r="L53" i="1"/>
  <c r="K53" i="1"/>
  <c r="U52" i="1"/>
  <c r="T52" i="1"/>
  <c r="S52" i="1"/>
  <c r="R52" i="1"/>
  <c r="Q52" i="1"/>
  <c r="P52" i="1"/>
  <c r="O52" i="1"/>
  <c r="N52" i="1"/>
  <c r="M52" i="1"/>
  <c r="L52" i="1"/>
  <c r="K52" i="1"/>
  <c r="U51" i="1"/>
  <c r="T51" i="1"/>
  <c r="S51" i="1"/>
  <c r="R51" i="1"/>
  <c r="Q51" i="1"/>
  <c r="P51" i="1"/>
  <c r="O51" i="1"/>
  <c r="N51" i="1"/>
  <c r="M51" i="1"/>
  <c r="L51" i="1"/>
  <c r="K51" i="1"/>
  <c r="U50" i="1"/>
  <c r="T50" i="1"/>
  <c r="S50" i="1"/>
  <c r="R50" i="1"/>
  <c r="Q50" i="1"/>
  <c r="P50" i="1"/>
  <c r="O50" i="1"/>
  <c r="N50" i="1"/>
  <c r="M50" i="1"/>
  <c r="L50" i="1"/>
  <c r="K50" i="1"/>
  <c r="U49" i="1"/>
  <c r="T49" i="1"/>
  <c r="S49" i="1"/>
  <c r="R49" i="1"/>
  <c r="Q49" i="1"/>
  <c r="P49" i="1"/>
  <c r="O49" i="1"/>
  <c r="N49" i="1"/>
  <c r="M49" i="1"/>
  <c r="L49" i="1"/>
  <c r="K49" i="1"/>
  <c r="U48" i="1"/>
  <c r="T48" i="1"/>
  <c r="S48" i="1"/>
  <c r="R48" i="1"/>
  <c r="Q48" i="1"/>
  <c r="P48" i="1"/>
  <c r="O48" i="1"/>
  <c r="N48" i="1"/>
  <c r="M48" i="1"/>
  <c r="L48" i="1"/>
  <c r="K48" i="1"/>
  <c r="U47" i="1"/>
  <c r="T47" i="1"/>
  <c r="S47" i="1"/>
  <c r="R47" i="1"/>
  <c r="Q47" i="1"/>
  <c r="P47" i="1"/>
  <c r="O47" i="1"/>
  <c r="N47" i="1"/>
  <c r="M47" i="1"/>
  <c r="L47" i="1"/>
  <c r="K47" i="1"/>
  <c r="U46" i="1"/>
  <c r="T46" i="1"/>
  <c r="S46" i="1"/>
  <c r="R46" i="1"/>
  <c r="Q46" i="1"/>
  <c r="P46" i="1"/>
  <c r="O46" i="1"/>
  <c r="N46" i="1"/>
  <c r="M46" i="1"/>
  <c r="L46" i="1"/>
  <c r="K46" i="1"/>
  <c r="U45" i="1"/>
  <c r="T45" i="1"/>
  <c r="S45" i="1"/>
  <c r="R45" i="1"/>
  <c r="Q45" i="1"/>
  <c r="P45" i="1"/>
  <c r="O45" i="1"/>
  <c r="N45" i="1"/>
  <c r="M45" i="1"/>
  <c r="L45" i="1"/>
  <c r="K45" i="1"/>
  <c r="U44" i="1"/>
  <c r="T44" i="1"/>
  <c r="S44" i="1"/>
  <c r="R44" i="1"/>
  <c r="Q44" i="1"/>
  <c r="P44" i="1"/>
  <c r="O44" i="1"/>
  <c r="N44" i="1"/>
  <c r="M44" i="1"/>
  <c r="L44" i="1"/>
  <c r="K44" i="1"/>
  <c r="U43" i="1"/>
  <c r="T43" i="1"/>
  <c r="S43" i="1"/>
  <c r="R43" i="1"/>
  <c r="Q43" i="1"/>
  <c r="P43" i="1"/>
  <c r="O43" i="1"/>
  <c r="N43" i="1"/>
  <c r="M43" i="1"/>
  <c r="L43" i="1"/>
  <c r="K43" i="1"/>
  <c r="U42" i="1"/>
  <c r="T42" i="1"/>
  <c r="S42" i="1"/>
  <c r="R42" i="1"/>
  <c r="Q42" i="1"/>
  <c r="P42" i="1"/>
  <c r="O42" i="1"/>
  <c r="N42" i="1"/>
  <c r="M42" i="1"/>
  <c r="L42" i="1"/>
  <c r="K42" i="1"/>
  <c r="U41" i="1"/>
  <c r="T41" i="1"/>
  <c r="S41" i="1"/>
  <c r="R41" i="1"/>
  <c r="Q41" i="1"/>
  <c r="P41" i="1"/>
  <c r="O41" i="1"/>
  <c r="N41" i="1"/>
  <c r="M41" i="1"/>
  <c r="L41" i="1"/>
  <c r="K41" i="1"/>
  <c r="U40" i="1"/>
  <c r="T40" i="1"/>
  <c r="S40" i="1"/>
  <c r="R40" i="1"/>
  <c r="Q40" i="1"/>
  <c r="P40" i="1"/>
  <c r="O40" i="1"/>
  <c r="N40" i="1"/>
  <c r="M40" i="1"/>
  <c r="L40" i="1"/>
  <c r="K40" i="1"/>
  <c r="U39" i="1"/>
  <c r="T39" i="1"/>
  <c r="S39" i="1"/>
  <c r="R39" i="1"/>
  <c r="Q39" i="1"/>
  <c r="P39" i="1"/>
  <c r="O39" i="1"/>
  <c r="N39" i="1"/>
  <c r="M39" i="1"/>
  <c r="L39" i="1"/>
  <c r="K39" i="1"/>
  <c r="U38" i="1"/>
  <c r="T38" i="1"/>
  <c r="S38" i="1"/>
  <c r="R38" i="1"/>
  <c r="Q38" i="1"/>
  <c r="P38" i="1"/>
  <c r="O38" i="1"/>
  <c r="N38" i="1"/>
  <c r="M38" i="1"/>
  <c r="L38" i="1"/>
  <c r="K38" i="1"/>
  <c r="U37" i="1"/>
  <c r="T37" i="1"/>
  <c r="S37" i="1"/>
  <c r="R37" i="1"/>
  <c r="Q37" i="1"/>
  <c r="P37" i="1"/>
  <c r="O37" i="1"/>
  <c r="N37" i="1"/>
  <c r="M37" i="1"/>
  <c r="L37" i="1"/>
  <c r="K37" i="1"/>
  <c r="U36" i="1"/>
  <c r="T36" i="1"/>
  <c r="S36" i="1"/>
  <c r="R36" i="1"/>
  <c r="Q36" i="1"/>
  <c r="P36" i="1"/>
  <c r="O36" i="1"/>
  <c r="N36" i="1"/>
  <c r="M36" i="1"/>
  <c r="L36" i="1"/>
  <c r="K36" i="1"/>
  <c r="U35" i="1"/>
  <c r="T35" i="1"/>
  <c r="S35" i="1"/>
  <c r="R35" i="1"/>
  <c r="Q35" i="1"/>
  <c r="P35" i="1"/>
  <c r="O35" i="1"/>
  <c r="N35" i="1"/>
  <c r="M35" i="1"/>
  <c r="L35" i="1"/>
  <c r="K35" i="1"/>
  <c r="U34" i="1"/>
  <c r="T34" i="1"/>
  <c r="S34" i="1"/>
  <c r="R34" i="1"/>
  <c r="Q34" i="1"/>
  <c r="P34" i="1"/>
  <c r="O34" i="1"/>
  <c r="N34" i="1"/>
  <c r="M34" i="1"/>
  <c r="L34" i="1"/>
  <c r="K34" i="1"/>
  <c r="U33" i="1"/>
  <c r="T33" i="1"/>
  <c r="S33" i="1"/>
  <c r="R33" i="1"/>
  <c r="Q33" i="1"/>
  <c r="P33" i="1"/>
  <c r="O33" i="1"/>
  <c r="N33" i="1"/>
  <c r="M33" i="1"/>
  <c r="L33" i="1"/>
  <c r="K33" i="1"/>
  <c r="U32" i="1"/>
  <c r="T32" i="1"/>
  <c r="S32" i="1"/>
  <c r="R32" i="1"/>
  <c r="Q32" i="1"/>
  <c r="P32" i="1"/>
  <c r="O32" i="1"/>
  <c r="N32" i="1"/>
  <c r="M32" i="1"/>
  <c r="L32" i="1"/>
  <c r="K32" i="1"/>
  <c r="U31" i="1"/>
  <c r="T31" i="1"/>
  <c r="S31" i="1"/>
  <c r="R31" i="1"/>
  <c r="Q31" i="1"/>
  <c r="P31" i="1"/>
  <c r="O31" i="1"/>
  <c r="N31" i="1"/>
  <c r="M31" i="1"/>
  <c r="L31" i="1"/>
  <c r="K31" i="1"/>
  <c r="U30" i="1"/>
  <c r="T30" i="1"/>
  <c r="S30" i="1"/>
  <c r="R30" i="1"/>
  <c r="Q30" i="1"/>
  <c r="P30" i="1"/>
  <c r="O30" i="1"/>
  <c r="N30" i="1"/>
  <c r="M30" i="1"/>
  <c r="L30" i="1"/>
  <c r="K30" i="1"/>
  <c r="U29" i="1"/>
  <c r="T29" i="1"/>
  <c r="S29" i="1"/>
  <c r="R29" i="1"/>
  <c r="Q29" i="1"/>
  <c r="P29" i="1"/>
  <c r="O29" i="1"/>
  <c r="N29" i="1"/>
  <c r="M29" i="1"/>
  <c r="L29" i="1"/>
  <c r="K29" i="1"/>
  <c r="U28" i="1"/>
  <c r="T28" i="1"/>
  <c r="S28" i="1"/>
  <c r="R28" i="1"/>
  <c r="Q28" i="1"/>
  <c r="P28" i="1"/>
  <c r="O28" i="1"/>
  <c r="N28" i="1"/>
  <c r="M28" i="1"/>
  <c r="L28" i="1"/>
  <c r="K28" i="1"/>
  <c r="U27" i="1"/>
  <c r="T27" i="1"/>
  <c r="S27" i="1"/>
  <c r="R27" i="1"/>
  <c r="Q27" i="1"/>
  <c r="P27" i="1"/>
  <c r="O27" i="1"/>
  <c r="N27" i="1"/>
  <c r="M27" i="1"/>
  <c r="L27" i="1"/>
  <c r="K27" i="1"/>
  <c r="U26" i="1"/>
  <c r="T26" i="1"/>
  <c r="S26" i="1"/>
  <c r="R26" i="1"/>
  <c r="Q26" i="1"/>
  <c r="P26" i="1"/>
  <c r="O26" i="1"/>
  <c r="N26" i="1"/>
  <c r="M26" i="1"/>
  <c r="L26" i="1"/>
  <c r="K26" i="1"/>
  <c r="U25" i="1"/>
  <c r="T25" i="1"/>
  <c r="S25" i="1"/>
  <c r="R25" i="1"/>
  <c r="Q25" i="1"/>
  <c r="P25" i="1"/>
  <c r="O25" i="1"/>
  <c r="N25" i="1"/>
  <c r="M25" i="1"/>
  <c r="L25" i="1"/>
  <c r="K25" i="1"/>
  <c r="U24" i="1"/>
  <c r="T24" i="1"/>
  <c r="S24" i="1"/>
  <c r="R24" i="1"/>
  <c r="Q24" i="1"/>
  <c r="P24" i="1"/>
  <c r="O24" i="1"/>
  <c r="N24" i="1"/>
  <c r="M24" i="1"/>
  <c r="L24" i="1"/>
  <c r="K24" i="1"/>
  <c r="U23" i="1"/>
  <c r="T23" i="1"/>
  <c r="S23" i="1"/>
  <c r="R23" i="1"/>
  <c r="Q23" i="1"/>
  <c r="P23" i="1"/>
  <c r="O23" i="1"/>
  <c r="N23" i="1"/>
  <c r="M23" i="1"/>
  <c r="L23" i="1"/>
  <c r="K23" i="1"/>
  <c r="U22" i="1"/>
  <c r="T22" i="1"/>
  <c r="S22" i="1"/>
  <c r="R22" i="1"/>
  <c r="Q22" i="1"/>
  <c r="P22" i="1"/>
  <c r="O22" i="1"/>
  <c r="N22" i="1"/>
  <c r="M22" i="1"/>
  <c r="L22" i="1"/>
  <c r="K22" i="1"/>
  <c r="U21" i="1"/>
  <c r="T21" i="1"/>
  <c r="S21" i="1"/>
  <c r="R21" i="1"/>
  <c r="Q21" i="1"/>
  <c r="P21" i="1"/>
  <c r="O21" i="1"/>
  <c r="N21" i="1"/>
  <c r="M21" i="1"/>
  <c r="L21" i="1"/>
  <c r="K21" i="1"/>
  <c r="U20" i="1"/>
  <c r="T20" i="1"/>
  <c r="S20" i="1"/>
  <c r="R20" i="1"/>
  <c r="Q20" i="1"/>
  <c r="P20" i="1"/>
  <c r="O20" i="1"/>
  <c r="N20" i="1"/>
  <c r="M20" i="1"/>
  <c r="L20" i="1"/>
  <c r="K20" i="1"/>
  <c r="U19" i="1"/>
  <c r="T19" i="1"/>
  <c r="S19" i="1"/>
  <c r="R19" i="1"/>
  <c r="Q19" i="1"/>
  <c r="P19" i="1"/>
  <c r="O19" i="1"/>
  <c r="N19" i="1"/>
  <c r="M19" i="1"/>
  <c r="L19" i="1"/>
  <c r="K19" i="1"/>
  <c r="U18" i="1"/>
  <c r="T18" i="1"/>
  <c r="S18" i="1"/>
  <c r="R18" i="1"/>
  <c r="Q18" i="1"/>
  <c r="P18" i="1"/>
  <c r="O18" i="1"/>
  <c r="N18" i="1"/>
  <c r="M18" i="1"/>
  <c r="L18" i="1"/>
  <c r="K18" i="1"/>
  <c r="U17" i="1"/>
  <c r="T17" i="1"/>
  <c r="S17" i="1"/>
  <c r="R17" i="1"/>
  <c r="Q17" i="1"/>
  <c r="P17" i="1"/>
  <c r="O17" i="1"/>
  <c r="N17" i="1"/>
  <c r="M17" i="1"/>
  <c r="L17" i="1"/>
  <c r="K17" i="1"/>
  <c r="U16" i="1"/>
  <c r="T16" i="1"/>
  <c r="S16" i="1"/>
  <c r="R16" i="1"/>
  <c r="Q16" i="1"/>
  <c r="P16" i="1"/>
  <c r="O16" i="1"/>
  <c r="N16" i="1"/>
  <c r="M16" i="1"/>
  <c r="L16" i="1"/>
  <c r="K16" i="1"/>
  <c r="U15" i="1"/>
  <c r="T15" i="1"/>
  <c r="S15" i="1"/>
  <c r="R15" i="1"/>
  <c r="Q15" i="1"/>
  <c r="P15" i="1"/>
  <c r="O15" i="1"/>
  <c r="N15" i="1"/>
  <c r="M15" i="1"/>
  <c r="L15" i="1"/>
  <c r="K15" i="1"/>
  <c r="U14" i="1"/>
  <c r="T14" i="1"/>
  <c r="S14" i="1"/>
  <c r="R14" i="1"/>
  <c r="Q14" i="1"/>
  <c r="P14" i="1"/>
  <c r="O14" i="1"/>
  <c r="N14" i="1"/>
  <c r="M14" i="1"/>
  <c r="L14" i="1"/>
  <c r="K14" i="1"/>
  <c r="U13" i="1"/>
  <c r="T13" i="1"/>
  <c r="S13" i="1"/>
  <c r="R13" i="1"/>
  <c r="Q13" i="1"/>
  <c r="P13" i="1"/>
  <c r="O13" i="1"/>
  <c r="N13" i="1"/>
  <c r="M13" i="1"/>
  <c r="L13" i="1"/>
  <c r="K13" i="1"/>
  <c r="U12" i="1"/>
  <c r="T12" i="1"/>
  <c r="S12" i="1"/>
  <c r="R12" i="1"/>
  <c r="Q12" i="1"/>
  <c r="P12" i="1"/>
  <c r="O12" i="1"/>
  <c r="N12" i="1"/>
  <c r="M12" i="1"/>
  <c r="L12" i="1"/>
  <c r="K12" i="1"/>
  <c r="U11" i="1"/>
  <c r="T11" i="1"/>
  <c r="S11" i="1"/>
  <c r="R11" i="1"/>
  <c r="Q11" i="1"/>
  <c r="P11" i="1"/>
  <c r="O11" i="1"/>
  <c r="N11" i="1"/>
  <c r="M11" i="1"/>
  <c r="L11" i="1"/>
  <c r="K11" i="1"/>
  <c r="U10" i="1"/>
  <c r="T10" i="1"/>
  <c r="S10" i="1"/>
  <c r="R10" i="1"/>
  <c r="Q10" i="1"/>
  <c r="P10" i="1"/>
  <c r="O10" i="1"/>
  <c r="N10" i="1"/>
  <c r="M10" i="1"/>
  <c r="L10" i="1"/>
  <c r="K10" i="1"/>
  <c r="U9" i="1"/>
  <c r="T9" i="1"/>
  <c r="S9" i="1"/>
  <c r="R9" i="1"/>
  <c r="Q9" i="1"/>
  <c r="P9" i="1"/>
  <c r="O9" i="1"/>
  <c r="N9" i="1"/>
  <c r="M9" i="1"/>
  <c r="L9" i="1"/>
  <c r="K9" i="1"/>
  <c r="U8" i="1"/>
  <c r="T8" i="1"/>
  <c r="S8" i="1"/>
  <c r="R8" i="1"/>
  <c r="Q8" i="1"/>
  <c r="P8" i="1"/>
  <c r="O8" i="1"/>
  <c r="N8" i="1"/>
  <c r="M8" i="1"/>
  <c r="L8" i="1"/>
  <c r="K8" i="1"/>
  <c r="U7" i="1"/>
  <c r="T7" i="1"/>
  <c r="S7" i="1"/>
  <c r="R7" i="1"/>
  <c r="Q7" i="1"/>
  <c r="P7" i="1"/>
  <c r="O7" i="1"/>
  <c r="N7" i="1"/>
  <c r="M7" i="1"/>
  <c r="L7" i="1"/>
  <c r="K7" i="1"/>
  <c r="U6" i="1"/>
  <c r="T6" i="1"/>
  <c r="S6" i="1"/>
  <c r="R6" i="1"/>
  <c r="Q6" i="1"/>
  <c r="P6" i="1"/>
  <c r="O6" i="1"/>
  <c r="N6" i="1"/>
  <c r="M6" i="1"/>
  <c r="L6" i="1"/>
  <c r="K6" i="1"/>
  <c r="J63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 l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C58" i="1"/>
  <c r="D58" i="1"/>
  <c r="E58" i="1"/>
  <c r="F58" i="1"/>
  <c r="G58" i="1"/>
  <c r="B59" i="1"/>
  <c r="C59" i="1"/>
  <c r="D59" i="1"/>
  <c r="E59" i="1"/>
  <c r="F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C62" i="1"/>
  <c r="D62" i="1"/>
  <c r="E62" i="1"/>
  <c r="F62" i="1"/>
  <c r="G62" i="1"/>
  <c r="B63" i="1"/>
  <c r="C63" i="1"/>
  <c r="D63" i="1"/>
  <c r="E63" i="1"/>
  <c r="F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0" i="1"/>
  <c r="C90" i="1"/>
  <c r="D90" i="1"/>
  <c r="E90" i="1"/>
  <c r="F90" i="1"/>
  <c r="G90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5" i="1"/>
  <c r="C95" i="1"/>
  <c r="D95" i="1"/>
  <c r="E95" i="1"/>
  <c r="F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6" i="1"/>
  <c r="C106" i="1"/>
  <c r="D106" i="1"/>
  <c r="E106" i="1"/>
  <c r="F106" i="1"/>
  <c r="G106" i="1"/>
  <c r="B107" i="1"/>
  <c r="C107" i="1"/>
  <c r="D107" i="1"/>
  <c r="E107" i="1"/>
  <c r="F107" i="1"/>
  <c r="G107" i="1"/>
  <c r="B108" i="1"/>
  <c r="C108" i="1"/>
  <c r="D108" i="1"/>
  <c r="E108" i="1"/>
  <c r="F108" i="1"/>
  <c r="G108" i="1"/>
  <c r="B109" i="1"/>
  <c r="C109" i="1"/>
  <c r="D109" i="1"/>
  <c r="E109" i="1"/>
  <c r="F109" i="1"/>
  <c r="G109" i="1"/>
  <c r="B110" i="1"/>
  <c r="C110" i="1"/>
  <c r="D110" i="1"/>
  <c r="E110" i="1"/>
  <c r="F110" i="1"/>
  <c r="G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11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5" i="1"/>
  <c r="B5" i="1"/>
  <c r="C5" i="1"/>
  <c r="D5" i="1"/>
  <c r="E5" i="1"/>
  <c r="F5" i="1"/>
  <c r="G5" i="1"/>
  <c r="A6" i="1"/>
  <c r="AS3" i="1" l="1"/>
</calcChain>
</file>

<file path=xl/sharedStrings.xml><?xml version="1.0" encoding="utf-8"?>
<sst xmlns="http://schemas.openxmlformats.org/spreadsheetml/2006/main" count="738" uniqueCount="161">
  <si>
    <t>Tipo de Negocio</t>
  </si>
  <si>
    <t xml:space="preserve">% de </t>
  </si>
  <si>
    <t>Total 2024</t>
  </si>
  <si>
    <t>Total 2025</t>
  </si>
  <si>
    <t>Total 2026</t>
  </si>
  <si>
    <t>SECTOR/SERVICIO CEBE/CECO</t>
  </si>
  <si>
    <t>CLIENTE</t>
  </si>
  <si>
    <t>PRODUCTO/PLAN</t>
  </si>
  <si>
    <t>CONCEPTO 1</t>
  </si>
  <si>
    <t>CONCEPTO 2</t>
  </si>
  <si>
    <t>DIMENSIÓN</t>
  </si>
  <si>
    <t>UM</t>
  </si>
  <si>
    <t>MINERIA</t>
  </si>
  <si>
    <t>Lundin GOLD</t>
  </si>
  <si>
    <t>N/A</t>
  </si>
  <si>
    <t>Minería</t>
  </si>
  <si>
    <t>FILO DEL SOL</t>
  </si>
  <si>
    <t>VENTAS</t>
  </si>
  <si>
    <t>ARS</t>
  </si>
  <si>
    <t xml:space="preserve">BAU </t>
  </si>
  <si>
    <t>ESTANCIA GUAÑIZUIL</t>
  </si>
  <si>
    <t>JOSE MARÍA</t>
  </si>
  <si>
    <t>OTRAS OP DEDICADAS</t>
  </si>
  <si>
    <t>Vestas</t>
  </si>
  <si>
    <t>Parque Eólico</t>
  </si>
  <si>
    <t xml:space="preserve">Vestas - El Llano </t>
  </si>
  <si>
    <t>Vestas - La Elbita</t>
  </si>
  <si>
    <t>PETROLEO</t>
  </si>
  <si>
    <t>PLUSPETROL SA</t>
  </si>
  <si>
    <t>AP</t>
  </si>
  <si>
    <t>NN</t>
  </si>
  <si>
    <t>CAPEX</t>
  </si>
  <si>
    <t>FIJO</t>
  </si>
  <si>
    <t>LA YESERA</t>
  </si>
  <si>
    <t>LOMA NEGRA</t>
  </si>
  <si>
    <t>CAPEX - Aguada del Cajon</t>
  </si>
  <si>
    <t>Vista OIL</t>
  </si>
  <si>
    <t xml:space="preserve">Médico asistencial </t>
  </si>
  <si>
    <t>Vista Oil - Yac. Bajada del Palo y Aguila Mora</t>
  </si>
  <si>
    <t>Vista Oil - Yac. Entre Lomas</t>
  </si>
  <si>
    <t>AJUSTES y BONOS 2022</t>
  </si>
  <si>
    <t>EVENTUAL</t>
  </si>
  <si>
    <t>EVENTUALES - Enfermero simple</t>
  </si>
  <si>
    <t>YPF</t>
  </si>
  <si>
    <t>YPF - Área Protegida - OPESSA</t>
  </si>
  <si>
    <t>YPF - Área Protegida - YPF GAS</t>
  </si>
  <si>
    <t>EVENTUALES</t>
  </si>
  <si>
    <t>MEDICAMENTOS</t>
  </si>
  <si>
    <t>YPF - Área Protegida - YPF</t>
  </si>
  <si>
    <t>DEA</t>
  </si>
  <si>
    <t>YPF - DEAS</t>
  </si>
  <si>
    <t>CHACHAUEN</t>
  </si>
  <si>
    <t>EL PORTON</t>
  </si>
  <si>
    <t>YPF - Puesto Molina</t>
  </si>
  <si>
    <t>AJUSTE TARIFARIO C505274</t>
  </si>
  <si>
    <t>CAPEX - Aguada del Cajon SRL</t>
  </si>
  <si>
    <t>Total</t>
  </si>
  <si>
    <t>TOTAL - Total Austral</t>
  </si>
  <si>
    <t>YPF - Eventuales Z2 N</t>
  </si>
  <si>
    <t>YPF - Eventuales Z3 N</t>
  </si>
  <si>
    <t>YPF - Eventuales Z4 N</t>
  </si>
  <si>
    <t>YPF - Yac. Fijos - Z2 N</t>
  </si>
  <si>
    <t>YPF - Yac. Fijos - Z3 N</t>
  </si>
  <si>
    <t>YPF - Yac. Fijos - Z4 N</t>
  </si>
  <si>
    <t>YPF - Eventuales Z3 P</t>
  </si>
  <si>
    <t>YPF - Eventuales Z4 P</t>
  </si>
  <si>
    <t>YPF - Yac. Fijos - Z2 P</t>
  </si>
  <si>
    <t>YPF - Yac. Fijos - Z4 P</t>
  </si>
  <si>
    <t>YPF - Minería</t>
  </si>
  <si>
    <t>AJUSTE TARIFARIO C505258</t>
  </si>
  <si>
    <t xml:space="preserve">YPF REGIÓN 1  Urg y Emer </t>
  </si>
  <si>
    <t>Ganfeng</t>
  </si>
  <si>
    <t>PPG</t>
  </si>
  <si>
    <t>BAU bis</t>
  </si>
  <si>
    <t>Petróleo - Área Protegida</t>
  </si>
  <si>
    <t>Petróleo - DEA</t>
  </si>
  <si>
    <t xml:space="preserve">ELIMINAR </t>
  </si>
  <si>
    <t>Don peter</t>
  </si>
  <si>
    <t>SACDE</t>
  </si>
  <si>
    <t>SACDE - Techint</t>
  </si>
  <si>
    <t>AGV- Servicios Mineros</t>
  </si>
  <si>
    <t>Proyecto Tren Belgrano</t>
  </si>
  <si>
    <t>Petróleo - Eventos</t>
  </si>
  <si>
    <t>ACONCAGUA</t>
  </si>
  <si>
    <t>Oilfield &amp; Production Services srl</t>
  </si>
  <si>
    <t>Glencore</t>
  </si>
  <si>
    <t>Glencore El pachon</t>
  </si>
  <si>
    <t>SESA</t>
  </si>
  <si>
    <t>Arizaro</t>
  </si>
  <si>
    <t xml:space="preserve">YPF PSICOSOCIAL </t>
  </si>
  <si>
    <t xml:space="preserve">Vestas - Wayra - Pepe VI </t>
  </si>
  <si>
    <t>Mariana</t>
  </si>
  <si>
    <t>SACDE - Gasoducto TGS C.Ordoqui</t>
  </si>
  <si>
    <t>SACDE - Cordoba</t>
  </si>
  <si>
    <t>HANAQ</t>
  </si>
  <si>
    <t xml:space="preserve">HANAQ - Salta - Proyecto Doncella </t>
  </si>
  <si>
    <t>MILICIC</t>
  </si>
  <si>
    <t>Proyecto VMOC</t>
  </si>
  <si>
    <t>Guemes</t>
  </si>
  <si>
    <t>Vestas - La Rinconada</t>
  </si>
  <si>
    <t>PECOM</t>
  </si>
  <si>
    <t>Glencore - Mina Mara</t>
  </si>
  <si>
    <t>Minera Arg del SUD</t>
  </si>
  <si>
    <t xml:space="preserve">GWK Mineral </t>
  </si>
  <si>
    <t>Proyecto del Toro</t>
  </si>
  <si>
    <t>SALES DE JUJUY</t>
  </si>
  <si>
    <t>Sales de Jujuy</t>
  </si>
  <si>
    <t>Proyecto La Coipita</t>
  </si>
  <si>
    <t xml:space="preserve">PAMPA ENERGÍA </t>
  </si>
  <si>
    <t xml:space="preserve">PAMPA ENERGÍA - Buenos Aires </t>
  </si>
  <si>
    <t>GeoPark</t>
  </si>
  <si>
    <t>HANAQ - La Rioja  - Caballos</t>
  </si>
  <si>
    <t xml:space="preserve">HANAQ - Jujuy - Providencia </t>
  </si>
  <si>
    <t>JOSE MARÍA USD</t>
  </si>
  <si>
    <t>NORDEX</t>
  </si>
  <si>
    <t>PAMPA ENERGÍA - Neuquen LLL</t>
  </si>
  <si>
    <t>REFIPAMPA</t>
  </si>
  <si>
    <t>SACDE - Mangrullo</t>
  </si>
  <si>
    <t xml:space="preserve">SACDE - Sauce Viejo </t>
  </si>
  <si>
    <t>Proyecto Diablillos</t>
  </si>
  <si>
    <t xml:space="preserve">INTEGRA </t>
  </si>
  <si>
    <t>EPEN</t>
  </si>
  <si>
    <t>Obras Infraestructura EPEN</t>
  </si>
  <si>
    <t>TGS</t>
  </si>
  <si>
    <t xml:space="preserve">TGS - Río Salado </t>
  </si>
  <si>
    <t xml:space="preserve">YPF VMOS - Fijo </t>
  </si>
  <si>
    <t>QUINTANA E&amp;P</t>
  </si>
  <si>
    <t>EFO</t>
  </si>
  <si>
    <t>GENNEIA</t>
  </si>
  <si>
    <t>Parque Solar San Juan Sur</t>
  </si>
  <si>
    <t xml:space="preserve">BENTIA </t>
  </si>
  <si>
    <t xml:space="preserve">US Fijas </t>
  </si>
  <si>
    <t>YPF VMOS - Eventual día</t>
  </si>
  <si>
    <t>YPF VMOS - Eventual noche</t>
  </si>
  <si>
    <t>TECMACO</t>
  </si>
  <si>
    <t xml:space="preserve">EVENTUALES - Enfermero doble </t>
  </si>
  <si>
    <t>Parque Solar Ullúm</t>
  </si>
  <si>
    <t>Techint</t>
  </si>
  <si>
    <t xml:space="preserve">Gasoducto Duplicar Norte </t>
  </si>
  <si>
    <t>Parque Solar Junin</t>
  </si>
  <si>
    <t>Parque Solar Lincoln</t>
  </si>
  <si>
    <t>Fortescue</t>
  </si>
  <si>
    <t>Proyecto Nacimiento/Vanesa</t>
  </si>
  <si>
    <t>First Quantum</t>
  </si>
  <si>
    <t>Vendaval</t>
  </si>
  <si>
    <t>Contreras</t>
  </si>
  <si>
    <t>Proyecto Las grutas</t>
  </si>
  <si>
    <t>IAN Servicios</t>
  </si>
  <si>
    <t>Rio Tinto</t>
  </si>
  <si>
    <t>Salar de Rincon &amp; Sal de vida</t>
  </si>
  <si>
    <t>ENEL</t>
  </si>
  <si>
    <t>Enel</t>
  </si>
  <si>
    <t>Obras Infraestructura en NOA &amp; Rio negro/NQN</t>
  </si>
  <si>
    <t>Casposo</t>
  </si>
  <si>
    <t>McEwen</t>
  </si>
  <si>
    <t>Los Azules</t>
  </si>
  <si>
    <t>Minera San Jorge SA</t>
  </si>
  <si>
    <t>Proyecto San Jorge</t>
  </si>
  <si>
    <t xml:space="preserve">Vestas - Olavarría </t>
  </si>
  <si>
    <t>Vestas - Mataco III</t>
  </si>
  <si>
    <t xml:space="preserve">Gasoducto Southern Energy GNL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</si>
</sst>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4" fillId="2" borderId="0" xfId="1" applyNumberFormat="1" applyFont="1" applyFill="1"/>
    <xf numFmtId="0" fontId="3" fillId="5" borderId="0" xfId="0" applyFont="1" applyFill="1"/>
    <xf numFmtId="0" fontId="2" fillId="6" borderId="0" xfId="0" applyFont="1" applyFill="1" applyAlignment="1">
      <alignment horizontal="center"/>
    </xf>
    <xf numFmtId="0" fontId="3" fillId="0" borderId="0" xfId="0" applyFont="1"/>
    <xf numFmtId="9" fontId="0" fillId="0" borderId="0" xfId="0" applyNumberFormat="1"/>
    <xf numFmtId="164" fontId="0" fillId="0" borderId="0" xfId="1" applyNumberFormat="1" applyFont="1"/>
    <xf numFmtId="17" fontId="3" fillId="0" borderId="0" xfId="0" applyNumberFormat="1" applyFont="1"/>
    <xf numFmtId="164" fontId="3" fillId="0" borderId="0" xfId="1" applyNumberFormat="1" applyFont="1"/>
    <xf numFmtId="164" fontId="0" fillId="0" borderId="0" xfId="0" applyNumberFormat="1"/>
    <xf numFmtId="17" fontId="2" fillId="6" borderId="0" xfId="0" applyNumberFormat="1" applyFont="1" applyFill="1" applyAlignment="1">
      <alignment horizontal="center"/>
    </xf>
    <xf numFmtId="17" fontId="2" fillId="7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8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ERFLS01\Files\Nuevos%20Negocios\Juliana\10%20TRBJ\12%20Ops%20Comp\05%20Costos\09%20Presupuesto%20-%20Budget%20-%20Fcst\2026\08%20Venta%204+8\12%20BO%202026%20-%20BASE%20VENTAS%20-%20PETROLEO%20Y%20MINERIA.xlsx" TargetMode="External"/><Relationship Id="rId1" Type="http://schemas.openxmlformats.org/officeDocument/2006/relationships/externalLinkPath" Target="08%20Venta%204+8/12%20BO%202026%20-%20BASE%20VENTAS%20-%20PETROLEO%20Y%20MINE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ida"/>
      <sheetName val="RESUMEN"/>
      <sheetName val="TD PARA P&amp;L"/>
      <sheetName val="TD MES (USD) (2)"/>
      <sheetName val="TD x año NN&amp;BAU"/>
      <sheetName val="TD (x año)"/>
      <sheetName val="BASE"/>
      <sheetName val="TD (x mes)"/>
      <sheetName val="TD (x mes) (2)"/>
      <sheetName val="Hoja1"/>
      <sheetName val="Vta 2025"/>
      <sheetName val="Vta 2026"/>
      <sheetName val="PyM"/>
      <sheetName val="Contrib + Viandas"/>
      <sheetName val="Supuestos Final"/>
      <sheetName val="DEAs Op complejas"/>
      <sheetName val="Supuesto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SECTOR/SERVICIO CEBE/CECO</v>
          </cell>
          <cell r="I3" t="str">
            <v>CLIENTE</v>
          </cell>
          <cell r="J3" t="str">
            <v>PRODUCTO/PLAN</v>
          </cell>
          <cell r="K3" t="str">
            <v>CONCEPTO 1</v>
          </cell>
          <cell r="L3" t="str">
            <v>CONCEPTO 2</v>
          </cell>
          <cell r="M3" t="str">
            <v>DIMENSIÓN</v>
          </cell>
          <cell r="N3" t="str">
            <v>UM</v>
          </cell>
        </row>
        <row r="4">
          <cell r="H4" t="str">
            <v>MINERIA</v>
          </cell>
          <cell r="I4" t="str">
            <v>Lundin GOLD</v>
          </cell>
          <cell r="J4" t="str">
            <v>N/A</v>
          </cell>
          <cell r="K4" t="str">
            <v>Minería</v>
          </cell>
          <cell r="L4" t="str">
            <v>FILO DEL SOL</v>
          </cell>
          <cell r="M4" t="str">
            <v>VENTAS</v>
          </cell>
          <cell r="N4" t="str">
            <v>ARS</v>
          </cell>
          <cell r="AO4">
            <v>12058524.41</v>
          </cell>
          <cell r="AP4">
            <v>12058524.41</v>
          </cell>
          <cell r="AQ4">
            <v>21483011.710000001</v>
          </cell>
          <cell r="AR4">
            <v>17746820.719999999</v>
          </cell>
          <cell r="AS4">
            <v>19512058.600000001</v>
          </cell>
          <cell r="AT4">
            <v>21041088.310000002</v>
          </cell>
          <cell r="AU4">
            <v>22792136.68</v>
          </cell>
          <cell r="AV4">
            <v>23812991.780000001</v>
          </cell>
          <cell r="AW4">
            <v>24728203.529999997</v>
          </cell>
          <cell r="AX4">
            <v>26900409.909999996</v>
          </cell>
          <cell r="AY4">
            <v>26640990.190000005</v>
          </cell>
          <cell r="AZ4">
            <v>27520597.229999997</v>
          </cell>
          <cell r="BA4">
            <v>27551157.960000001</v>
          </cell>
          <cell r="BB4">
            <v>28783077.48</v>
          </cell>
          <cell r="BC4">
            <v>34953858.329999998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CL4" t="str">
            <v xml:space="preserve">BAU </v>
          </cell>
        </row>
        <row r="9">
          <cell r="H9" t="str">
            <v>MINERIA</v>
          </cell>
          <cell r="I9" t="str">
            <v>Lundin GOLD</v>
          </cell>
          <cell r="J9" t="str">
            <v>N/A</v>
          </cell>
          <cell r="K9" t="str">
            <v>Minería</v>
          </cell>
          <cell r="L9" t="str">
            <v>ESTANCIA GUAÑIZUIL</v>
          </cell>
          <cell r="M9" t="str">
            <v>VENTAS</v>
          </cell>
          <cell r="N9" t="str">
            <v>ARS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CL9" t="str">
            <v xml:space="preserve">BAU </v>
          </cell>
        </row>
        <row r="14">
          <cell r="H14" t="str">
            <v>MINERIA</v>
          </cell>
          <cell r="I14" t="str">
            <v>Lundin GOLD</v>
          </cell>
          <cell r="J14" t="str">
            <v>N/A</v>
          </cell>
          <cell r="K14" t="str">
            <v>Minería</v>
          </cell>
          <cell r="L14" t="str">
            <v>JOSE MARÍA</v>
          </cell>
          <cell r="M14" t="str">
            <v>VENTAS</v>
          </cell>
          <cell r="N14" t="str">
            <v>ARS</v>
          </cell>
          <cell r="AO14">
            <v>155647074.07999998</v>
          </cell>
          <cell r="AP14">
            <v>153080063.38000003</v>
          </cell>
          <cell r="AQ14">
            <v>294416201.12999994</v>
          </cell>
          <cell r="AR14">
            <v>244254112.45000011</v>
          </cell>
          <cell r="AS14">
            <v>253730190.18000004</v>
          </cell>
          <cell r="AT14">
            <v>315548502.76999998</v>
          </cell>
          <cell r="AU14">
            <v>407318097.36999995</v>
          </cell>
          <cell r="AV14">
            <v>320586273.68999994</v>
          </cell>
          <cell r="AW14">
            <v>326388216.14999986</v>
          </cell>
          <cell r="AX14">
            <v>354186793.75999987</v>
          </cell>
          <cell r="AY14">
            <v>382261353.80999994</v>
          </cell>
          <cell r="AZ14">
            <v>405531913.7100001</v>
          </cell>
          <cell r="BA14">
            <v>458856671.93000001</v>
          </cell>
          <cell r="BB14">
            <v>451118983.16000009</v>
          </cell>
          <cell r="BC14">
            <v>468212157.30999988</v>
          </cell>
          <cell r="BD14">
            <v>297849625.94999999</v>
          </cell>
          <cell r="BE14">
            <v>326203731.17200005</v>
          </cell>
          <cell r="BF14">
            <v>316784075.85100001</v>
          </cell>
          <cell r="BG14">
            <v>449568751.25099999</v>
          </cell>
          <cell r="BH14">
            <v>454924107.83099997</v>
          </cell>
          <cell r="BI14">
            <v>569187008.9009999</v>
          </cell>
          <cell r="BJ14">
            <v>499363063.24700004</v>
          </cell>
          <cell r="BK14">
            <v>507843255.64000005</v>
          </cell>
          <cell r="BL14">
            <v>558198352.93999982</v>
          </cell>
          <cell r="BM14">
            <v>526355501.87199998</v>
          </cell>
          <cell r="BN14">
            <v>557768123.39999998</v>
          </cell>
          <cell r="BO14">
            <v>576103404.88699985</v>
          </cell>
          <cell r="BP14">
            <v>675539146.88500023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L14" t="str">
            <v xml:space="preserve">BAU </v>
          </cell>
        </row>
        <row r="24">
          <cell r="H24" t="str">
            <v>OTRAS OP DEDICADAS</v>
          </cell>
          <cell r="I24" t="str">
            <v>Vestas</v>
          </cell>
          <cell r="K24" t="str">
            <v>Parque Eólico</v>
          </cell>
          <cell r="L24" t="str">
            <v xml:space="preserve">Vestas - El Llano </v>
          </cell>
          <cell r="M24" t="str">
            <v>VENTAS</v>
          </cell>
          <cell r="N24" t="str">
            <v>ARS</v>
          </cell>
          <cell r="AO24">
            <v>16221074.745999999</v>
          </cell>
          <cell r="AP24">
            <v>7573670.0939999986</v>
          </cell>
          <cell r="AQ24">
            <v>-935561.6099999994</v>
          </cell>
          <cell r="AR24">
            <v>0</v>
          </cell>
          <cell r="AS24">
            <v>-4138039.0290000001</v>
          </cell>
          <cell r="AT24">
            <v>0</v>
          </cell>
          <cell r="AU24">
            <v>0</v>
          </cell>
          <cell r="AV24">
            <v>1549509.102</v>
          </cell>
          <cell r="AW24">
            <v>0</v>
          </cell>
          <cell r="AX24">
            <v>4940826.4470000006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L24" t="str">
            <v xml:space="preserve">BAU </v>
          </cell>
        </row>
        <row r="30">
          <cell r="H30" t="str">
            <v>OTRAS OP DEDICADAS</v>
          </cell>
          <cell r="I30" t="str">
            <v>Vestas</v>
          </cell>
          <cell r="K30" t="str">
            <v>Parque Eólico</v>
          </cell>
          <cell r="L30" t="str">
            <v>Vestas - La Elbita</v>
          </cell>
          <cell r="M30" t="str">
            <v>VENTAS</v>
          </cell>
          <cell r="N30" t="str">
            <v>ARS</v>
          </cell>
          <cell r="AO30">
            <v>12576462.645</v>
          </cell>
          <cell r="AP30">
            <v>25061679.254999999</v>
          </cell>
          <cell r="AQ30">
            <v>17974612.516000003</v>
          </cell>
          <cell r="AR30">
            <v>35529058.510999992</v>
          </cell>
          <cell r="AS30">
            <v>16836992.859999999</v>
          </cell>
          <cell r="AT30">
            <v>29713681.937000003</v>
          </cell>
          <cell r="AU30">
            <v>27885843.119999997</v>
          </cell>
          <cell r="AV30">
            <v>28076773.704000004</v>
          </cell>
          <cell r="AW30">
            <v>20502753.809999999</v>
          </cell>
          <cell r="AX30">
            <v>8950486.0500000007</v>
          </cell>
          <cell r="AY30">
            <v>-549099.16899999976</v>
          </cell>
          <cell r="AZ30">
            <v>0</v>
          </cell>
          <cell r="BA30">
            <v>798395.96</v>
          </cell>
          <cell r="BB30">
            <v>0</v>
          </cell>
          <cell r="BC30">
            <v>-3680893.5109999999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L30" t="str">
            <v xml:space="preserve">BAU </v>
          </cell>
        </row>
        <row r="36">
          <cell r="H36" t="str">
            <v>PETROLEO</v>
          </cell>
          <cell r="I36" t="str">
            <v>PLUSPETROL SA</v>
          </cell>
          <cell r="K36" t="str">
            <v>AP</v>
          </cell>
          <cell r="L36" t="str">
            <v>PLUSPETROL SA</v>
          </cell>
          <cell r="M36" t="str">
            <v>VENTAS</v>
          </cell>
          <cell r="N36" t="str">
            <v>ARS</v>
          </cell>
          <cell r="AO36">
            <v>141902.32</v>
          </cell>
          <cell r="AP36">
            <v>170282.37999999998</v>
          </cell>
          <cell r="AQ36">
            <v>-0.29999999998835847</v>
          </cell>
          <cell r="AR36">
            <v>0</v>
          </cell>
          <cell r="AS36">
            <v>224772</v>
          </cell>
          <cell r="AT36">
            <v>0</v>
          </cell>
          <cell r="AU36">
            <v>0</v>
          </cell>
          <cell r="AV36">
            <v>245451</v>
          </cell>
          <cell r="AW36">
            <v>255269</v>
          </cell>
          <cell r="AX36">
            <v>255269</v>
          </cell>
          <cell r="AY36">
            <v>255269</v>
          </cell>
          <cell r="AZ36">
            <v>281063</v>
          </cell>
          <cell r="BA36">
            <v>280293</v>
          </cell>
          <cell r="BB36">
            <v>288702</v>
          </cell>
          <cell r="BC36">
            <v>294476</v>
          </cell>
          <cell r="BD36">
            <v>300366</v>
          </cell>
          <cell r="BE36">
            <v>306373</v>
          </cell>
          <cell r="BF36">
            <v>315564</v>
          </cell>
          <cell r="BG36">
            <v>325031</v>
          </cell>
          <cell r="BH36">
            <v>331532</v>
          </cell>
          <cell r="BI36">
            <v>331532</v>
          </cell>
          <cell r="BJ36">
            <v>339820</v>
          </cell>
          <cell r="BK36">
            <v>348316</v>
          </cell>
          <cell r="BL36">
            <v>357024</v>
          </cell>
          <cell r="BM36">
            <v>365950</v>
          </cell>
          <cell r="BN36">
            <v>375099</v>
          </cell>
          <cell r="BO36">
            <v>385227</v>
          </cell>
          <cell r="BP36">
            <v>400636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L36" t="str">
            <v>NN</v>
          </cell>
        </row>
        <row r="39">
          <cell r="H39" t="str">
            <v>PETROLEO</v>
          </cell>
          <cell r="I39" t="str">
            <v>CAPEX</v>
          </cell>
          <cell r="K39" t="str">
            <v>FIJO</v>
          </cell>
          <cell r="L39" t="str">
            <v>LA YESERA</v>
          </cell>
          <cell r="M39" t="str">
            <v>VENTAS</v>
          </cell>
          <cell r="N39" t="str">
            <v>ARS</v>
          </cell>
          <cell r="AO39">
            <v>37597.799999999988</v>
          </cell>
          <cell r="AP39">
            <v>44331.46</v>
          </cell>
          <cell r="AQ39">
            <v>45353.22</v>
          </cell>
          <cell r="AR39">
            <v>54826.400000000009</v>
          </cell>
          <cell r="AS39">
            <v>55349.41</v>
          </cell>
          <cell r="AT39">
            <v>59946.8</v>
          </cell>
          <cell r="AU39">
            <v>68905.069999999992</v>
          </cell>
          <cell r="AV39">
            <v>64743.519999999997</v>
          </cell>
          <cell r="AW39">
            <v>64743.53</v>
          </cell>
          <cell r="AX39">
            <v>70215.75</v>
          </cell>
          <cell r="AY39">
            <v>73523.89</v>
          </cell>
          <cell r="AZ39">
            <v>71076.280000000013</v>
          </cell>
          <cell r="BA39">
            <v>66691.599999999991</v>
          </cell>
          <cell r="BB39">
            <v>71076.789999999994</v>
          </cell>
          <cell r="BC39">
            <v>71076.28</v>
          </cell>
          <cell r="BD39">
            <v>71076.28</v>
          </cell>
          <cell r="BE39">
            <v>71076.28</v>
          </cell>
          <cell r="BF39">
            <v>92454.9</v>
          </cell>
          <cell r="BG39">
            <v>79845.91</v>
          </cell>
          <cell r="BH39">
            <v>93743.529999999955</v>
          </cell>
          <cell r="BI39">
            <v>77542.888937804397</v>
          </cell>
          <cell r="BJ39">
            <v>84545.055415359791</v>
          </cell>
          <cell r="BK39">
            <v>84545.06</v>
          </cell>
          <cell r="BL39">
            <v>84545.06</v>
          </cell>
          <cell r="BM39">
            <v>86235.96</v>
          </cell>
          <cell r="BN39">
            <v>91171.239999999976</v>
          </cell>
          <cell r="BO39">
            <v>91171.239999999976</v>
          </cell>
          <cell r="BP39">
            <v>100210.31999999999</v>
          </cell>
          <cell r="BQ39">
            <v>100480.89089202882</v>
          </cell>
          <cell r="BR39">
            <v>100721.53438338227</v>
          </cell>
          <cell r="BS39">
            <v>103407.28258773846</v>
          </cell>
          <cell r="BT39">
            <v>103643.13843268043</v>
          </cell>
          <cell r="BU39">
            <v>103855.89284840606</v>
          </cell>
          <cell r="BV39">
            <v>106302.3453448723</v>
          </cell>
          <cell r="BW39">
            <v>106479.09797809104</v>
          </cell>
          <cell r="BX39">
            <v>106691.55380930709</v>
          </cell>
          <cell r="CL39" t="str">
            <v xml:space="preserve">BAU </v>
          </cell>
        </row>
        <row r="48">
          <cell r="H48" t="str">
            <v>PETROLEO</v>
          </cell>
          <cell r="I48" t="str">
            <v>CAPEX</v>
          </cell>
          <cell r="K48" t="str">
            <v>FIJO</v>
          </cell>
          <cell r="L48" t="str">
            <v>LOMA NEGRA</v>
          </cell>
          <cell r="M48" t="str">
            <v>VENTAS</v>
          </cell>
          <cell r="N48" t="str">
            <v>ARS</v>
          </cell>
          <cell r="AO48">
            <v>150391.20000000004</v>
          </cell>
          <cell r="AP48">
            <v>177325.83</v>
          </cell>
          <cell r="AQ48">
            <v>181412.90000000002</v>
          </cell>
          <cell r="AR48">
            <v>219305.57</v>
          </cell>
          <cell r="AS48">
            <v>221397.65000000002</v>
          </cell>
          <cell r="AT48">
            <v>239787.2</v>
          </cell>
          <cell r="AU48">
            <v>275620.29000000004</v>
          </cell>
          <cell r="AV48">
            <v>258974.09999999998</v>
          </cell>
          <cell r="AW48">
            <v>258974.11</v>
          </cell>
          <cell r="AX48">
            <v>280862.94999999995</v>
          </cell>
          <cell r="AY48">
            <v>294095.58999999997</v>
          </cell>
          <cell r="AZ48">
            <v>284305.11000000004</v>
          </cell>
          <cell r="BA48">
            <v>266766.38999999996</v>
          </cell>
          <cell r="BB48">
            <v>284304.62</v>
          </cell>
          <cell r="BC48">
            <v>284305.11</v>
          </cell>
          <cell r="BD48">
            <v>284305.11</v>
          </cell>
          <cell r="BE48">
            <v>284305.11</v>
          </cell>
          <cell r="BF48">
            <v>369819.65</v>
          </cell>
          <cell r="BG48">
            <v>319383.65000000002</v>
          </cell>
          <cell r="BH48">
            <v>374974.18000000011</v>
          </cell>
          <cell r="BI48">
            <v>310171.55575121799</v>
          </cell>
          <cell r="BJ48">
            <v>338180.2216614394</v>
          </cell>
          <cell r="BK48">
            <v>338180.22</v>
          </cell>
          <cell r="BL48">
            <v>338180.22</v>
          </cell>
          <cell r="BM48">
            <v>344953.00000000006</v>
          </cell>
          <cell r="BN48">
            <v>364684.9699999998</v>
          </cell>
          <cell r="BO48">
            <v>364684.9699999998</v>
          </cell>
          <cell r="BP48">
            <v>400841.29000000004</v>
          </cell>
          <cell r="BQ48">
            <v>401923.56356811529</v>
          </cell>
          <cell r="BR48">
            <v>402886.13753352908</v>
          </cell>
          <cell r="BS48">
            <v>413629.13035095384</v>
          </cell>
          <cell r="BT48">
            <v>414572.5537307217</v>
          </cell>
          <cell r="BU48">
            <v>415423.57139362424</v>
          </cell>
          <cell r="BV48">
            <v>425209.3813794892</v>
          </cell>
          <cell r="BW48">
            <v>425916.39191236417</v>
          </cell>
          <cell r="BX48">
            <v>426766.21523722837</v>
          </cell>
          <cell r="CL48" t="str">
            <v xml:space="preserve">BAU </v>
          </cell>
        </row>
        <row r="57">
          <cell r="H57" t="str">
            <v>PETROLEO</v>
          </cell>
          <cell r="I57" t="str">
            <v>CAPEX</v>
          </cell>
          <cell r="K57" t="str">
            <v>FIJO</v>
          </cell>
          <cell r="L57" t="str">
            <v>CAPEX - Aguada del Cajon</v>
          </cell>
          <cell r="M57" t="str">
            <v>VENTAS</v>
          </cell>
          <cell r="N57" t="str">
            <v>ARS</v>
          </cell>
          <cell r="AO57">
            <v>598336.99000000022</v>
          </cell>
          <cell r="AP57">
            <v>508160.39</v>
          </cell>
          <cell r="AQ57">
            <v>436499.3899999999</v>
          </cell>
          <cell r="AR57">
            <v>349450.10000000003</v>
          </cell>
          <cell r="AS57">
            <v>368513.29999999993</v>
          </cell>
          <cell r="AT57">
            <v>359549.25000000006</v>
          </cell>
          <cell r="AU57">
            <v>403220.18</v>
          </cell>
          <cell r="AV57">
            <v>84833.74</v>
          </cell>
          <cell r="AW57">
            <v>84834.74</v>
          </cell>
          <cell r="AX57">
            <v>92005.08</v>
          </cell>
          <cell r="AY57">
            <v>96339.840000000011</v>
          </cell>
          <cell r="AZ57">
            <v>937740.65999999992</v>
          </cell>
          <cell r="BA57">
            <v>931995.31000000017</v>
          </cell>
          <cell r="BB57">
            <v>924810.57000000007</v>
          </cell>
          <cell r="BC57">
            <v>93132.66</v>
          </cell>
          <cell r="BD57">
            <v>93132.66</v>
          </cell>
          <cell r="BE57">
            <v>93132.66</v>
          </cell>
          <cell r="BF57">
            <v>121145.52000000002</v>
          </cell>
          <cell r="BG57">
            <v>104623.6925857389</v>
          </cell>
          <cell r="BH57">
            <v>101605.99454767301</v>
          </cell>
          <cell r="BI57">
            <v>101605.99454767301</v>
          </cell>
          <cell r="BJ57">
            <v>110781.07299375781</v>
          </cell>
          <cell r="BK57">
            <v>110781.07299375781</v>
          </cell>
          <cell r="BL57">
            <v>110781.07299375781</v>
          </cell>
          <cell r="BM57">
            <v>112996.69140000001</v>
          </cell>
          <cell r="BN57">
            <v>119463.4967727589</v>
          </cell>
          <cell r="BO57">
            <v>119463.4967727589</v>
          </cell>
          <cell r="BP57">
            <v>131307.58569679732</v>
          </cell>
          <cell r="BQ57">
            <v>131307.58569679732</v>
          </cell>
          <cell r="BR57">
            <v>131307.58569679732</v>
          </cell>
          <cell r="BS57">
            <v>134833.20667073841</v>
          </cell>
          <cell r="BT57">
            <v>134833.20667073841</v>
          </cell>
          <cell r="BU57">
            <v>134833.20667073841</v>
          </cell>
          <cell r="BV57">
            <v>138085.4943151373</v>
          </cell>
          <cell r="BW57">
            <v>138085.4943151373</v>
          </cell>
          <cell r="BX57">
            <v>138085.4943151373</v>
          </cell>
          <cell r="CL57" t="str">
            <v xml:space="preserve">BAU </v>
          </cell>
        </row>
        <row r="66">
          <cell r="H66" t="str">
            <v>PETROLEO</v>
          </cell>
          <cell r="I66" t="str">
            <v>Vista OIL</v>
          </cell>
          <cell r="K66" t="str">
            <v>FIJO</v>
          </cell>
          <cell r="L66" t="str">
            <v xml:space="preserve">Médico asistencial </v>
          </cell>
          <cell r="M66" t="str">
            <v>VENTAS</v>
          </cell>
          <cell r="N66" t="str">
            <v>ARS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36234137.374909967</v>
          </cell>
          <cell r="BR66">
            <v>36234137.374909967</v>
          </cell>
          <cell r="BS66">
            <v>37207027.357036576</v>
          </cell>
          <cell r="BT66">
            <v>37207027.357036576</v>
          </cell>
          <cell r="BU66">
            <v>37207027.357036576</v>
          </cell>
          <cell r="BV66">
            <v>38104491.404254578</v>
          </cell>
          <cell r="BW66">
            <v>38104491.404254578</v>
          </cell>
          <cell r="BX66">
            <v>38104491.404254578</v>
          </cell>
          <cell r="CL66" t="str">
            <v xml:space="preserve">BAU </v>
          </cell>
        </row>
        <row r="75">
          <cell r="H75" t="str">
            <v>PETROLEO</v>
          </cell>
          <cell r="I75" t="str">
            <v>Vista OIL</v>
          </cell>
          <cell r="K75" t="str">
            <v>FIJO</v>
          </cell>
          <cell r="L75" t="str">
            <v>Vista Oil - Yac. Bajada del Palo y Aguila Mora</v>
          </cell>
          <cell r="M75" t="str">
            <v>VENTAS</v>
          </cell>
          <cell r="N75" t="str">
            <v>ARS</v>
          </cell>
          <cell r="AO75">
            <v>45878805.629999995</v>
          </cell>
          <cell r="AP75">
            <v>59160001.93</v>
          </cell>
          <cell r="AQ75">
            <v>87501728.170000017</v>
          </cell>
          <cell r="AR75">
            <v>39556812.18999999</v>
          </cell>
          <cell r="AS75">
            <v>47682218.469999984</v>
          </cell>
          <cell r="AT75">
            <v>70449809.339999989</v>
          </cell>
          <cell r="AU75">
            <v>36202883.780000001</v>
          </cell>
          <cell r="AV75">
            <v>76540133.219999999</v>
          </cell>
          <cell r="AW75">
            <v>17629594.389999986</v>
          </cell>
          <cell r="AX75">
            <v>40911152.219999991</v>
          </cell>
          <cell r="AY75">
            <v>116173221.48999996</v>
          </cell>
          <cell r="AZ75">
            <v>110422600.23999991</v>
          </cell>
          <cell r="BA75">
            <v>210993508.77999997</v>
          </cell>
          <cell r="BB75">
            <v>-33912954.909999907</v>
          </cell>
          <cell r="BC75">
            <v>19827533.709999971</v>
          </cell>
          <cell r="BD75">
            <v>24009202.00000006</v>
          </cell>
          <cell r="BE75">
            <v>-52122741.290000007</v>
          </cell>
          <cell r="BF75">
            <v>178002578.74999994</v>
          </cell>
          <cell r="BG75">
            <v>-42114150.920000002</v>
          </cell>
          <cell r="BH75">
            <v>269520.48999992432</v>
          </cell>
          <cell r="BI75">
            <v>64414625.820000082</v>
          </cell>
          <cell r="BJ75">
            <v>74859992.400000006</v>
          </cell>
          <cell r="BK75">
            <v>70252048.530000031</v>
          </cell>
          <cell r="BL75">
            <v>-211657185.33999997</v>
          </cell>
          <cell r="BM75">
            <v>292250606.48000002</v>
          </cell>
          <cell r="BN75">
            <v>291777138.61999995</v>
          </cell>
          <cell r="BO75">
            <v>-301389006.92000002</v>
          </cell>
          <cell r="BP75">
            <v>8671677.2799999975</v>
          </cell>
          <cell r="BQ75">
            <v>254650180.38217998</v>
          </cell>
          <cell r="BR75">
            <v>255553412.36840624</v>
          </cell>
          <cell r="BS75">
            <v>262258562.05661318</v>
          </cell>
          <cell r="BT75">
            <v>328126002.187199</v>
          </cell>
          <cell r="BU75">
            <v>329126432.91092682</v>
          </cell>
          <cell r="BV75">
            <v>336711554.10526025</v>
          </cell>
          <cell r="BW75">
            <v>337543316.23834974</v>
          </cell>
          <cell r="BX75">
            <v>338543920.19811857</v>
          </cell>
          <cell r="CL75" t="str">
            <v xml:space="preserve">BAU </v>
          </cell>
        </row>
        <row r="84">
          <cell r="H84" t="str">
            <v>PETROLEO</v>
          </cell>
          <cell r="I84" t="str">
            <v>Vista OIL</v>
          </cell>
          <cell r="K84" t="str">
            <v>FIJO</v>
          </cell>
          <cell r="L84" t="str">
            <v>Vista Oil - Yac. Entre Lomas</v>
          </cell>
          <cell r="M84" t="str">
            <v>VENTAS</v>
          </cell>
          <cell r="N84" t="str">
            <v>ARS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CL84" t="str">
            <v xml:space="preserve">BAU </v>
          </cell>
        </row>
        <row r="93">
          <cell r="H93" t="str">
            <v>PETROLEO</v>
          </cell>
          <cell r="I93" t="str">
            <v>Vista OIL</v>
          </cell>
          <cell r="K93" t="str">
            <v>FIJO</v>
          </cell>
          <cell r="L93" t="str">
            <v>AJUSTES y BONOS 2022</v>
          </cell>
          <cell r="M93" t="str">
            <v>VENTAS</v>
          </cell>
          <cell r="N93" t="str">
            <v>ARS</v>
          </cell>
          <cell r="AO93">
            <v>2546598.7199999988</v>
          </cell>
          <cell r="AP93">
            <v>-5329920.49</v>
          </cell>
          <cell r="AQ93">
            <v>2687493.2800000003</v>
          </cell>
          <cell r="AR93">
            <v>2554193.98</v>
          </cell>
          <cell r="AS93">
            <v>28312993.119999997</v>
          </cell>
          <cell r="AT93">
            <v>7931283.9499999955</v>
          </cell>
          <cell r="AU93">
            <v>8657201.5900000054</v>
          </cell>
          <cell r="AV93">
            <v>8811401.0899999999</v>
          </cell>
          <cell r="AW93">
            <v>-33919827.640000001</v>
          </cell>
          <cell r="AX93">
            <v>9028244.5099999979</v>
          </cell>
          <cell r="AY93">
            <v>-18047003.759999998</v>
          </cell>
          <cell r="AZ93">
            <v>9412425.0899999999</v>
          </cell>
          <cell r="BA93">
            <v>8548110.8699999992</v>
          </cell>
          <cell r="BB93">
            <v>11075580.700000005</v>
          </cell>
          <cell r="BC93">
            <v>56375583.490000002</v>
          </cell>
          <cell r="BD93">
            <v>-31882186.260000005</v>
          </cell>
          <cell r="BE93">
            <v>17463519.56000001</v>
          </cell>
          <cell r="BF93">
            <v>35187624.150000006</v>
          </cell>
          <cell r="BG93">
            <v>39819795.170000002</v>
          </cell>
          <cell r="BH93">
            <v>40669604.419999987</v>
          </cell>
          <cell r="BI93">
            <v>37305951.68</v>
          </cell>
          <cell r="BJ93">
            <v>-13121968.99000001</v>
          </cell>
          <cell r="BK93">
            <v>18337310.330000035</v>
          </cell>
          <cell r="BL93">
            <v>12273461.989999996</v>
          </cell>
          <cell r="BM93">
            <v>21039896.019999988</v>
          </cell>
          <cell r="BN93">
            <v>16657356.929999948</v>
          </cell>
          <cell r="BO93">
            <v>-227897030.59999993</v>
          </cell>
          <cell r="BP93">
            <v>-64806856.620000005</v>
          </cell>
          <cell r="BQ93">
            <v>21176221.776281003</v>
          </cell>
          <cell r="BR93">
            <v>21252294.747420285</v>
          </cell>
          <cell r="BS93">
            <v>21817023.041473147</v>
          </cell>
          <cell r="BT93">
            <v>21891664.869516529</v>
          </cell>
          <cell r="BU93">
            <v>21959072.34731498</v>
          </cell>
          <cell r="BV93">
            <v>22470146.104226809</v>
          </cell>
          <cell r="BW93">
            <v>22526188.952761997</v>
          </cell>
          <cell r="BX93">
            <v>22593608.102937467</v>
          </cell>
          <cell r="CL93" t="str">
            <v xml:space="preserve">BAU </v>
          </cell>
        </row>
        <row r="102">
          <cell r="H102" t="str">
            <v>PETROLEO</v>
          </cell>
          <cell r="I102" t="str">
            <v>Vista OIL</v>
          </cell>
          <cell r="K102" t="str">
            <v>EVENTUAL</v>
          </cell>
          <cell r="L102" t="str">
            <v>EVENTUALES - Enfermero simple</v>
          </cell>
          <cell r="M102" t="str">
            <v>VENTAS</v>
          </cell>
          <cell r="N102" t="str">
            <v>ARS</v>
          </cell>
          <cell r="AO102">
            <v>74125320.24000001</v>
          </cell>
          <cell r="AP102">
            <v>94913400.809999987</v>
          </cell>
          <cell r="AQ102">
            <v>87586668.590000018</v>
          </cell>
          <cell r="AR102">
            <v>177055510.08000004</v>
          </cell>
          <cell r="AS102">
            <v>149688783.13999999</v>
          </cell>
          <cell r="AT102">
            <v>149895834.91000003</v>
          </cell>
          <cell r="AU102">
            <v>169860766.86999997</v>
          </cell>
          <cell r="AV102">
            <v>186181330.06999999</v>
          </cell>
          <cell r="AW102">
            <v>268410059.31999993</v>
          </cell>
          <cell r="AX102">
            <v>221746468.00999999</v>
          </cell>
          <cell r="AY102">
            <v>243213047.25999999</v>
          </cell>
          <cell r="AZ102">
            <v>213354451.49999994</v>
          </cell>
          <cell r="BA102">
            <v>145583826.51000002</v>
          </cell>
          <cell r="BB102">
            <v>438659874.15000004</v>
          </cell>
          <cell r="BC102">
            <v>339423698.43000001</v>
          </cell>
          <cell r="BD102">
            <v>387601168.01000005</v>
          </cell>
          <cell r="BE102">
            <v>314228870.31000006</v>
          </cell>
          <cell r="BF102">
            <v>208048701.22999999</v>
          </cell>
          <cell r="BG102">
            <v>264187889.11000001</v>
          </cell>
          <cell r="BH102">
            <v>176988184.61000001</v>
          </cell>
          <cell r="BI102">
            <v>131307356.19</v>
          </cell>
          <cell r="BJ102">
            <v>169447885.45999998</v>
          </cell>
          <cell r="BK102">
            <v>182314738.53999996</v>
          </cell>
          <cell r="BL102">
            <v>442092550.40999997</v>
          </cell>
          <cell r="BM102">
            <v>28360.49</v>
          </cell>
          <cell r="BN102">
            <v>24020.9</v>
          </cell>
          <cell r="BO102">
            <v>882194039.38999987</v>
          </cell>
          <cell r="BP102">
            <v>380745550.11999995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CL102" t="str">
            <v xml:space="preserve">BAU </v>
          </cell>
        </row>
        <row r="111">
          <cell r="H111" t="str">
            <v>PETROLEO</v>
          </cell>
          <cell r="I111" t="str">
            <v>YPF</v>
          </cell>
          <cell r="K111" t="str">
            <v>AP</v>
          </cell>
          <cell r="L111" t="str">
            <v>YPF - Área Protegida - OPESSA</v>
          </cell>
          <cell r="M111" t="str">
            <v>VENTAS</v>
          </cell>
          <cell r="N111" t="str">
            <v>ARS</v>
          </cell>
          <cell r="AO111">
            <v>7947369.2300000004</v>
          </cell>
          <cell r="AP111">
            <v>7813901.0500000007</v>
          </cell>
          <cell r="AQ111">
            <v>7813901.0499999952</v>
          </cell>
          <cell r="AR111">
            <v>7780534.0200000005</v>
          </cell>
          <cell r="AS111">
            <v>15768006.649999995</v>
          </cell>
          <cell r="AT111">
            <v>15767972.879999997</v>
          </cell>
          <cell r="AU111">
            <v>15767939.269999998</v>
          </cell>
          <cell r="AV111">
            <v>15767972.849999998</v>
          </cell>
          <cell r="AW111">
            <v>15767972.850000003</v>
          </cell>
          <cell r="AX111">
            <v>15767972.850000003</v>
          </cell>
          <cell r="AY111">
            <v>21062289.899999999</v>
          </cell>
          <cell r="AZ111">
            <v>21062289.93</v>
          </cell>
          <cell r="BA111">
            <v>21062289.93</v>
          </cell>
          <cell r="BB111">
            <v>21062289.93</v>
          </cell>
          <cell r="BC111">
            <v>21062289.93</v>
          </cell>
          <cell r="BD111">
            <v>26163775.050000012</v>
          </cell>
          <cell r="BE111">
            <v>21779489.600000001</v>
          </cell>
          <cell r="BF111">
            <v>23568550.110000003</v>
          </cell>
          <cell r="BG111">
            <v>23568480.340000007</v>
          </cell>
          <cell r="BH111">
            <v>23568515.25</v>
          </cell>
          <cell r="BI111">
            <v>23568515.240000002</v>
          </cell>
          <cell r="BJ111">
            <v>25379476.430000003</v>
          </cell>
          <cell r="BK111">
            <v>25379476.440000001</v>
          </cell>
          <cell r="BL111">
            <v>25379476.43</v>
          </cell>
          <cell r="BM111">
            <v>27373463.960000008</v>
          </cell>
          <cell r="BN111">
            <v>20282242.169999991</v>
          </cell>
          <cell r="BO111">
            <v>20282242.16</v>
          </cell>
          <cell r="BP111">
            <v>20282242.16</v>
          </cell>
          <cell r="BQ111">
            <v>30129578.096353598</v>
          </cell>
          <cell r="BR111">
            <v>30851156.776811738</v>
          </cell>
          <cell r="BS111">
            <v>31622435.696232028</v>
          </cell>
          <cell r="BT111">
            <v>32343694.016111922</v>
          </cell>
          <cell r="BU111">
            <v>33007632.201202292</v>
          </cell>
          <cell r="BV111">
            <v>33617442.715307198</v>
          </cell>
          <cell r="BW111">
            <v>34176411.711027227</v>
          </cell>
          <cell r="BX111">
            <v>34858327.513839751</v>
          </cell>
          <cell r="CL111" t="str">
            <v xml:space="preserve">BAU </v>
          </cell>
        </row>
        <row r="120">
          <cell r="H120" t="str">
            <v>PETROLEO</v>
          </cell>
          <cell r="I120" t="str">
            <v>YPF</v>
          </cell>
          <cell r="K120" t="str">
            <v>AP</v>
          </cell>
          <cell r="L120" t="str">
            <v>YPF - Área Protegida - YPF GAS</v>
          </cell>
          <cell r="M120" t="str">
            <v>VENTAS</v>
          </cell>
          <cell r="N120" t="str">
            <v>ARS</v>
          </cell>
          <cell r="AO120">
            <v>2147174.0700000003</v>
          </cell>
          <cell r="AP120">
            <v>2059301.1900000004</v>
          </cell>
          <cell r="AQ120">
            <v>2147137.3500000015</v>
          </cell>
          <cell r="AR120">
            <v>2147161.830000001</v>
          </cell>
          <cell r="AS120">
            <v>4332850.1100000003</v>
          </cell>
          <cell r="AT120">
            <v>4332772.2700000005</v>
          </cell>
          <cell r="AU120">
            <v>4332694.43</v>
          </cell>
          <cell r="AV120">
            <v>4332772.2699999996</v>
          </cell>
          <cell r="AW120">
            <v>4332772.2700000014</v>
          </cell>
          <cell r="AX120">
            <v>4332772.2700000014</v>
          </cell>
          <cell r="AY120">
            <v>-5261110.6800000006</v>
          </cell>
          <cell r="AZ120">
            <v>5581704.049999998</v>
          </cell>
          <cell r="BA120">
            <v>5286424.26</v>
          </cell>
          <cell r="BB120">
            <v>5787561.0599999996</v>
          </cell>
          <cell r="BC120">
            <v>5787561.0599999996</v>
          </cell>
          <cell r="BD120">
            <v>7189362.8299999982</v>
          </cell>
          <cell r="BE120">
            <v>5984001.6200000029</v>
          </cell>
          <cell r="BF120">
            <v>6476169.7900000028</v>
          </cell>
          <cell r="BG120">
            <v>6476169.7900000028</v>
          </cell>
          <cell r="BH120">
            <v>6476160.21</v>
          </cell>
          <cell r="BI120">
            <v>6476160.21</v>
          </cell>
          <cell r="BJ120">
            <v>6973759.589999998</v>
          </cell>
          <cell r="BK120">
            <v>6973759.6100000003</v>
          </cell>
          <cell r="BL120">
            <v>6973769.1699999999</v>
          </cell>
          <cell r="BM120">
            <v>7521676.79</v>
          </cell>
          <cell r="BN120">
            <v>2979415.79</v>
          </cell>
          <cell r="BO120">
            <v>2979415.8</v>
          </cell>
          <cell r="BP120">
            <v>2979415.8</v>
          </cell>
          <cell r="BQ120">
            <v>8279001.4763696222</v>
          </cell>
          <cell r="BR120">
            <v>8477276.7705581188</v>
          </cell>
          <cell r="BS120">
            <v>8689208.6898220703</v>
          </cell>
          <cell r="BT120">
            <v>8887395.9553733319</v>
          </cell>
          <cell r="BU120">
            <v>9069832.8018835261</v>
          </cell>
          <cell r="BV120">
            <v>9237396.4541336466</v>
          </cell>
          <cell r="BW120">
            <v>9390989.8806997836</v>
          </cell>
          <cell r="BX120">
            <v>9578366.6146251727</v>
          </cell>
          <cell r="CL120" t="str">
            <v xml:space="preserve">BAU </v>
          </cell>
        </row>
        <row r="129">
          <cell r="H129" t="str">
            <v>PETROLEO</v>
          </cell>
          <cell r="I129" t="str">
            <v>YPF</v>
          </cell>
          <cell r="K129" t="str">
            <v>EVENTUAL</v>
          </cell>
          <cell r="L129" t="str">
            <v>EVENTUALES</v>
          </cell>
          <cell r="M129" t="str">
            <v>VENTAS</v>
          </cell>
          <cell r="N129" t="str">
            <v>ARS</v>
          </cell>
          <cell r="AO129">
            <v>106750.64</v>
          </cell>
          <cell r="AP129">
            <v>22803.4</v>
          </cell>
          <cell r="AQ129">
            <v>39409.33</v>
          </cell>
          <cell r="AR129">
            <v>6206.31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5200.04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CL129" t="str">
            <v xml:space="preserve">BAU </v>
          </cell>
        </row>
        <row r="138">
          <cell r="H138" t="str">
            <v>PETROLEO</v>
          </cell>
          <cell r="I138" t="str">
            <v>YPF</v>
          </cell>
          <cell r="K138" t="str">
            <v>MEDICAMENTOS</v>
          </cell>
          <cell r="L138" t="str">
            <v>MEDICAMENTOS</v>
          </cell>
          <cell r="M138" t="str">
            <v>VENTAS</v>
          </cell>
          <cell r="N138" t="str">
            <v>ARS</v>
          </cell>
          <cell r="AO138">
            <v>0</v>
          </cell>
          <cell r="AP138">
            <v>323335.83999999997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110355.55251206252</v>
          </cell>
          <cell r="BR138">
            <v>112998.47747132441</v>
          </cell>
          <cell r="BS138">
            <v>115823.43940810752</v>
          </cell>
          <cell r="BT138">
            <v>118465.19098324492</v>
          </cell>
          <cell r="BU138">
            <v>120896.99620186401</v>
          </cell>
          <cell r="BV138">
            <v>123130.5480955049</v>
          </cell>
          <cell r="BW138">
            <v>125177.88284949743</v>
          </cell>
          <cell r="BX138">
            <v>127675.53465681532</v>
          </cell>
          <cell r="CL138" t="str">
            <v xml:space="preserve">BAU </v>
          </cell>
        </row>
        <row r="144">
          <cell r="H144" t="str">
            <v>PETROLEO</v>
          </cell>
          <cell r="I144" t="str">
            <v>YPF</v>
          </cell>
          <cell r="K144" t="str">
            <v>AP</v>
          </cell>
          <cell r="L144" t="str">
            <v>YPF - Área Protegida - YPF</v>
          </cell>
          <cell r="M144" t="str">
            <v>VENTAS</v>
          </cell>
          <cell r="N144" t="str">
            <v>ARS</v>
          </cell>
          <cell r="AO144">
            <v>7023010.5499999989</v>
          </cell>
          <cell r="AP144">
            <v>4658118.41</v>
          </cell>
          <cell r="AQ144">
            <v>4450173.5200000005</v>
          </cell>
          <cell r="AR144">
            <v>4891688.03</v>
          </cell>
          <cell r="AS144">
            <v>11870933.249999996</v>
          </cell>
          <cell r="AT144">
            <v>14958115.449999994</v>
          </cell>
          <cell r="AU144">
            <v>10212545.869999997</v>
          </cell>
          <cell r="AV144">
            <v>12203833.18</v>
          </cell>
          <cell r="AW144">
            <v>10871923.379999999</v>
          </cell>
          <cell r="AX144">
            <v>11755665.600000001</v>
          </cell>
          <cell r="AY144">
            <v>28467085.02</v>
          </cell>
          <cell r="AZ144">
            <v>23753723.289999999</v>
          </cell>
          <cell r="BA144">
            <v>14519792.68</v>
          </cell>
          <cell r="BB144">
            <v>13085522.220000001</v>
          </cell>
          <cell r="BC144">
            <v>12273980.669999991</v>
          </cell>
          <cell r="BD144">
            <v>15870066.559999991</v>
          </cell>
          <cell r="BE144">
            <v>12946255.359999999</v>
          </cell>
          <cell r="BF144">
            <v>12107564.390000002</v>
          </cell>
          <cell r="BG144">
            <v>13231274.340000004</v>
          </cell>
          <cell r="BH144">
            <v>15607799.649999999</v>
          </cell>
          <cell r="BI144">
            <v>13756345.059999997</v>
          </cell>
          <cell r="BJ144">
            <v>15821253.599999994</v>
          </cell>
          <cell r="BK144">
            <v>13112409.410000002</v>
          </cell>
          <cell r="BL144">
            <v>20104815.09</v>
          </cell>
          <cell r="BM144">
            <v>16102855.039999997</v>
          </cell>
          <cell r="BN144">
            <v>18299183.030000001</v>
          </cell>
          <cell r="BO144">
            <v>15388154.48</v>
          </cell>
          <cell r="BP144">
            <v>30022382.149999999</v>
          </cell>
          <cell r="BQ144">
            <v>15678488.285570458</v>
          </cell>
          <cell r="BR144">
            <v>16053975.219124615</v>
          </cell>
          <cell r="BS144">
            <v>16455324.599602729</v>
          </cell>
          <cell r="BT144">
            <v>16830644.827550948</v>
          </cell>
          <cell r="BU144">
            <v>17176137.453567576</v>
          </cell>
          <cell r="BV144">
            <v>17493463.735775575</v>
          </cell>
          <cell r="BW144">
            <v>17784333.685011744</v>
          </cell>
          <cell r="BX144">
            <v>18139181.299935218</v>
          </cell>
          <cell r="CL144" t="str">
            <v xml:space="preserve">BAU </v>
          </cell>
        </row>
        <row r="153">
          <cell r="H153" t="str">
            <v>PETROLEO</v>
          </cell>
          <cell r="I153" t="str">
            <v>YPF</v>
          </cell>
          <cell r="K153" t="str">
            <v>DEA</v>
          </cell>
          <cell r="L153" t="str">
            <v>YPF - DEAS</v>
          </cell>
          <cell r="M153" t="str">
            <v>VENTAS</v>
          </cell>
          <cell r="N153" t="str">
            <v>ARS</v>
          </cell>
          <cell r="AO153">
            <v>103332.79999999981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396353.58102554973</v>
          </cell>
          <cell r="BR153">
            <v>15329254.525161507</v>
          </cell>
          <cell r="BS153">
            <v>405121.31859141588</v>
          </cell>
          <cell r="BT153">
            <v>15668352.964512601</v>
          </cell>
          <cell r="BU153">
            <v>414083.0072799765</v>
          </cell>
          <cell r="BV153">
            <v>418637.92036005616</v>
          </cell>
          <cell r="BW153">
            <v>423242.93748401676</v>
          </cell>
          <cell r="BX153">
            <v>427898.60979634093</v>
          </cell>
          <cell r="CL153" t="str">
            <v>NN</v>
          </cell>
        </row>
        <row r="159">
          <cell r="H159" t="str">
            <v>PETROLEO</v>
          </cell>
          <cell r="I159" t="str">
            <v>YPF</v>
          </cell>
          <cell r="K159" t="str">
            <v>FIJO</v>
          </cell>
          <cell r="L159" t="str">
            <v>CHACHAUEN</v>
          </cell>
          <cell r="M159" t="str">
            <v>VENTAS</v>
          </cell>
          <cell r="N159" t="str">
            <v>ARS</v>
          </cell>
          <cell r="AO159">
            <v>69188869.909999996</v>
          </cell>
          <cell r="AP159">
            <v>89918058.120000005</v>
          </cell>
          <cell r="AQ159">
            <v>76731570.889999986</v>
          </cell>
          <cell r="AR159">
            <v>94974823.74000001</v>
          </cell>
          <cell r="AS159">
            <v>98994448.38000001</v>
          </cell>
          <cell r="AT159">
            <v>102200669.88000001</v>
          </cell>
          <cell r="AU159">
            <v>115774505.3</v>
          </cell>
          <cell r="AV159">
            <v>111562561.45999999</v>
          </cell>
          <cell r="AW159">
            <v>154270432.70999998</v>
          </cell>
          <cell r="AX159">
            <v>126151406.54000002</v>
          </cell>
          <cell r="AY159">
            <v>121627231.62</v>
          </cell>
          <cell r="AZ159">
            <v>141393784.34999996</v>
          </cell>
          <cell r="BA159">
            <v>131564910.02000003</v>
          </cell>
          <cell r="BB159">
            <v>130155968.89</v>
          </cell>
          <cell r="BC159">
            <v>141593979.43000001</v>
          </cell>
          <cell r="BD159">
            <v>141571997.22</v>
          </cell>
          <cell r="BE159">
            <v>134033144.25999999</v>
          </cell>
          <cell r="BF159">
            <v>167721621.88999999</v>
          </cell>
          <cell r="BG159">
            <v>65398712.909999996</v>
          </cell>
          <cell r="BH159">
            <v>72757780.209999993</v>
          </cell>
          <cell r="BI159">
            <v>92293833.410000011</v>
          </cell>
          <cell r="BJ159">
            <v>81744148.36999999</v>
          </cell>
          <cell r="BK159">
            <v>17718633.290000003</v>
          </cell>
          <cell r="BL159">
            <v>79158319.570000008</v>
          </cell>
          <cell r="BM159">
            <v>78197272.020000011</v>
          </cell>
          <cell r="BN159">
            <v>94507356.879999995</v>
          </cell>
          <cell r="BO159">
            <v>84299401.190000013</v>
          </cell>
          <cell r="BP159">
            <v>96899460.50999999</v>
          </cell>
          <cell r="BQ159">
            <v>94016872.476834983</v>
          </cell>
          <cell r="BR159">
            <v>94287067.713817134</v>
          </cell>
          <cell r="BS159">
            <v>96797751.523935229</v>
          </cell>
          <cell r="BT159">
            <v>97062688.169434518</v>
          </cell>
          <cell r="BU159">
            <v>97301783.77177766</v>
          </cell>
          <cell r="BV159">
            <v>99582858.92519626</v>
          </cell>
          <cell r="BW159">
            <v>99781554.814526349</v>
          </cell>
          <cell r="BX159">
            <v>100020465.62692837</v>
          </cell>
          <cell r="CL159" t="str">
            <v xml:space="preserve">BAU </v>
          </cell>
        </row>
        <row r="168">
          <cell r="H168" t="str">
            <v>PETROLEO</v>
          </cell>
          <cell r="I168" t="str">
            <v>YPF</v>
          </cell>
          <cell r="K168" t="str">
            <v>FIJO</v>
          </cell>
          <cell r="L168" t="str">
            <v>EL PORTON</v>
          </cell>
          <cell r="M168" t="str">
            <v>VENTAS</v>
          </cell>
          <cell r="N168" t="str">
            <v>ARS</v>
          </cell>
          <cell r="AO168">
            <v>29941226.260000002</v>
          </cell>
          <cell r="AP168">
            <v>35315447.350000001</v>
          </cell>
          <cell r="AQ168">
            <v>37235462.579999991</v>
          </cell>
          <cell r="AR168">
            <v>46066994.150999993</v>
          </cell>
          <cell r="AS168">
            <v>46417650.909999996</v>
          </cell>
          <cell r="AT168">
            <v>49722463.440000013</v>
          </cell>
          <cell r="AU168">
            <v>56691792.780000009</v>
          </cell>
          <cell r="AV168">
            <v>54149580.609999992</v>
          </cell>
          <cell r="AW168">
            <v>54181794.60999997</v>
          </cell>
          <cell r="AX168">
            <v>61541579.549999982</v>
          </cell>
          <cell r="AY168">
            <v>59271284.350000001</v>
          </cell>
          <cell r="AZ168">
            <v>55171684.909999996</v>
          </cell>
          <cell r="BA168">
            <v>63746411.780000001</v>
          </cell>
          <cell r="BB168">
            <v>63187588.960000008</v>
          </cell>
          <cell r="BC168">
            <v>68970801</v>
          </cell>
          <cell r="BD168">
            <v>68578860.929999992</v>
          </cell>
          <cell r="BE168">
            <v>65115326.280000001</v>
          </cell>
          <cell r="BF168">
            <v>81732108.88000001</v>
          </cell>
          <cell r="BG168">
            <v>11512896.470000006</v>
          </cell>
          <cell r="BH168">
            <v>0</v>
          </cell>
          <cell r="BI168">
            <v>4652201.41</v>
          </cell>
          <cell r="BJ168">
            <v>250760.00999999791</v>
          </cell>
          <cell r="BK168">
            <v>102268347.78999999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CL168" t="str">
            <v xml:space="preserve">BAU </v>
          </cell>
        </row>
        <row r="177">
          <cell r="H177" t="str">
            <v>PETROLEO</v>
          </cell>
          <cell r="I177" t="str">
            <v>YPF</v>
          </cell>
          <cell r="K177" t="str">
            <v>FIJO</v>
          </cell>
          <cell r="L177" t="str">
            <v>YPF - Puesto Molina</v>
          </cell>
          <cell r="M177" t="str">
            <v>VENTAS</v>
          </cell>
          <cell r="N177" t="str">
            <v>ARS</v>
          </cell>
          <cell r="AO177">
            <v>42582094.780000001</v>
          </cell>
          <cell r="AP177">
            <v>19486590.48</v>
          </cell>
          <cell r="AQ177">
            <v>38448474.449999996</v>
          </cell>
          <cell r="AR177">
            <v>51656434.499999993</v>
          </cell>
          <cell r="AS177">
            <v>43608138.320000008</v>
          </cell>
          <cell r="AT177">
            <v>51362299.480000004</v>
          </cell>
          <cell r="AU177">
            <v>58026012.230000019</v>
          </cell>
          <cell r="AV177">
            <v>56333641.43</v>
          </cell>
          <cell r="AW177">
            <v>55877086.089999996</v>
          </cell>
          <cell r="AX177">
            <v>64077885.839999989</v>
          </cell>
          <cell r="AY177">
            <v>60913887.080000006</v>
          </cell>
          <cell r="AZ177">
            <v>57108335.019999981</v>
          </cell>
          <cell r="BA177">
            <v>65871787.349999994</v>
          </cell>
          <cell r="BB177">
            <v>65269097.999999993</v>
          </cell>
          <cell r="BC177">
            <v>70886054.11999999</v>
          </cell>
          <cell r="BD177">
            <v>70693218.25999999</v>
          </cell>
          <cell r="BE177">
            <v>67197903.989999995</v>
          </cell>
          <cell r="BF177">
            <v>83844577.039999992</v>
          </cell>
          <cell r="BG177">
            <v>69028108.059999987</v>
          </cell>
          <cell r="BH177">
            <v>72965592.209999993</v>
          </cell>
          <cell r="BI177">
            <v>87898296.49000001</v>
          </cell>
          <cell r="BJ177">
            <v>81269048.800000012</v>
          </cell>
          <cell r="BK177">
            <v>40228348.349999994</v>
          </cell>
          <cell r="BL177">
            <v>79238624.929999992</v>
          </cell>
          <cell r="BM177">
            <v>78192272.719999999</v>
          </cell>
          <cell r="BN177">
            <v>93240125.030000016</v>
          </cell>
          <cell r="BO177">
            <v>86868040.209999993</v>
          </cell>
          <cell r="BP177">
            <v>96901496.229999989</v>
          </cell>
          <cell r="BQ177">
            <v>101566748.70777638</v>
          </cell>
          <cell r="BR177">
            <v>101858641.54587696</v>
          </cell>
          <cell r="BS177">
            <v>104570941.8480358</v>
          </cell>
          <cell r="BT177">
            <v>104857153.81178239</v>
          </cell>
          <cell r="BU177">
            <v>105115449.60827684</v>
          </cell>
          <cell r="BV177">
            <v>107579702.89374861</v>
          </cell>
          <cell r="BW177">
            <v>107794354.74217965</v>
          </cell>
          <cell r="BX177">
            <v>108052450.90946904</v>
          </cell>
          <cell r="CL177" t="str">
            <v xml:space="preserve">BAU </v>
          </cell>
        </row>
        <row r="186">
          <cell r="H186" t="str">
            <v>PETROLEO</v>
          </cell>
          <cell r="I186" t="str">
            <v>YPF</v>
          </cell>
          <cell r="K186" t="str">
            <v>FIJO</v>
          </cell>
          <cell r="L186" t="str">
            <v>AJUSTE TARIFARIO C505274</v>
          </cell>
          <cell r="M186" t="str">
            <v>VENTAS</v>
          </cell>
          <cell r="N186" t="str">
            <v>ARS</v>
          </cell>
          <cell r="AO186">
            <v>49192952.609999999</v>
          </cell>
          <cell r="AP186">
            <v>47935789.780000016</v>
          </cell>
          <cell r="AQ186">
            <v>29192388.849999998</v>
          </cell>
          <cell r="AR186">
            <v>1413407.01</v>
          </cell>
          <cell r="AS186">
            <v>18265646.600000001</v>
          </cell>
          <cell r="AT186">
            <v>39653478.75</v>
          </cell>
          <cell r="AU186">
            <v>76528382.290000007</v>
          </cell>
          <cell r="AV186">
            <v>87690361</v>
          </cell>
          <cell r="AW186">
            <v>231429475.75</v>
          </cell>
          <cell r="AX186">
            <v>45323440</v>
          </cell>
          <cell r="AY186">
            <v>112861753.29000001</v>
          </cell>
          <cell r="AZ186">
            <v>179114347.21000001</v>
          </cell>
          <cell r="BA186">
            <v>34154067.409999996</v>
          </cell>
          <cell r="BB186">
            <v>152186393.50999999</v>
          </cell>
          <cell r="BC186">
            <v>69592805.519999996</v>
          </cell>
          <cell r="BD186">
            <v>-12298.84</v>
          </cell>
          <cell r="BE186">
            <v>9608764.0999999996</v>
          </cell>
          <cell r="BF186">
            <v>148254667.92000002</v>
          </cell>
          <cell r="BG186">
            <v>79333692.310000002</v>
          </cell>
          <cell r="BH186">
            <v>22876381</v>
          </cell>
          <cell r="BI186">
            <v>14117099.02</v>
          </cell>
          <cell r="BJ186">
            <v>1259484778.3199999</v>
          </cell>
          <cell r="BK186">
            <v>203395347.36999997</v>
          </cell>
          <cell r="BL186">
            <v>101288274.54999998</v>
          </cell>
          <cell r="BM186">
            <v>140772067.16000003</v>
          </cell>
          <cell r="BN186">
            <v>181408737.06</v>
          </cell>
          <cell r="BO186">
            <v>116799666.31999999</v>
          </cell>
          <cell r="BP186">
            <v>8959351</v>
          </cell>
          <cell r="BQ186">
            <v>15120000</v>
          </cell>
          <cell r="BR186">
            <v>15120000</v>
          </cell>
          <cell r="BS186">
            <v>15120000</v>
          </cell>
          <cell r="BT186">
            <v>15120000</v>
          </cell>
          <cell r="BU186">
            <v>15120000</v>
          </cell>
          <cell r="BV186">
            <v>15120000</v>
          </cell>
          <cell r="BW186">
            <v>15120000</v>
          </cell>
          <cell r="BX186">
            <v>15120000</v>
          </cell>
          <cell r="CL186" t="str">
            <v xml:space="preserve">BAU </v>
          </cell>
        </row>
        <row r="195">
          <cell r="H195" t="str">
            <v>PETROLEO</v>
          </cell>
          <cell r="I195" t="str">
            <v>CAPEX</v>
          </cell>
          <cell r="K195" t="str">
            <v>FIJO</v>
          </cell>
          <cell r="L195" t="str">
            <v>CAPEX - Aguada del Cajon SRL</v>
          </cell>
          <cell r="M195" t="str">
            <v>VENTAS</v>
          </cell>
          <cell r="N195" t="str">
            <v>ARS</v>
          </cell>
          <cell r="AO195">
            <v>12830328</v>
          </cell>
          <cell r="AP195">
            <v>15131620.790000001</v>
          </cell>
          <cell r="AQ195">
            <v>15181414.390000001</v>
          </cell>
          <cell r="AR195">
            <v>18943315.420000002</v>
          </cell>
          <cell r="AS195">
            <v>18942863.32</v>
          </cell>
          <cell r="AT195">
            <v>20610326.710000001</v>
          </cell>
          <cell r="AU195">
            <v>24134329.84</v>
          </cell>
          <cell r="AV195">
            <v>22467318.32</v>
          </cell>
          <cell r="AW195">
            <v>22467317.66</v>
          </cell>
          <cell r="AX195">
            <v>24472434.580000002</v>
          </cell>
          <cell r="AY195">
            <v>26464055.700000003</v>
          </cell>
          <cell r="AZ195">
            <v>24740704.429999996</v>
          </cell>
          <cell r="BA195">
            <v>22993996.279999997</v>
          </cell>
          <cell r="BB195">
            <v>24069026.550000001</v>
          </cell>
          <cell r="BC195">
            <v>28451810.789999999</v>
          </cell>
          <cell r="BD195">
            <v>25977739.649999999</v>
          </cell>
          <cell r="BE195">
            <v>25977740</v>
          </cell>
          <cell r="BF195">
            <v>35693332.439999998</v>
          </cell>
          <cell r="BG195">
            <v>29728945.087414265</v>
          </cell>
          <cell r="BH195">
            <v>28885307.455452327</v>
          </cell>
          <cell r="BI195">
            <v>28804304.220763315</v>
          </cell>
          <cell r="BJ195">
            <v>31362097.289929438</v>
          </cell>
          <cell r="BK195">
            <v>31373612.397005975</v>
          </cell>
          <cell r="BL195">
            <v>31373612.397006929</v>
          </cell>
          <cell r="BM195">
            <v>33991484.648597643</v>
          </cell>
          <cell r="BN195">
            <v>34457037.633227251</v>
          </cell>
          <cell r="BO195">
            <v>36677037.633227244</v>
          </cell>
          <cell r="BP195">
            <v>40348098.444303215</v>
          </cell>
          <cell r="BQ195">
            <v>37488098.43506033</v>
          </cell>
          <cell r="BR195">
            <v>37488098.43506033</v>
          </cell>
          <cell r="BS195">
            <v>38478439.93252591</v>
          </cell>
          <cell r="BT195">
            <v>38478439.93252591</v>
          </cell>
          <cell r="BU195">
            <v>38478439.93252591</v>
          </cell>
          <cell r="BV195">
            <v>39392002.519017555</v>
          </cell>
          <cell r="BW195">
            <v>39392002.519017555</v>
          </cell>
          <cell r="BX195">
            <v>39392002.519017555</v>
          </cell>
          <cell r="CL195" t="str">
            <v xml:space="preserve">BAU </v>
          </cell>
        </row>
        <row r="204">
          <cell r="H204" t="str">
            <v>PETROLEO</v>
          </cell>
          <cell r="I204" t="str">
            <v>Total</v>
          </cell>
          <cell r="K204" t="str">
            <v>EVENTUAL</v>
          </cell>
          <cell r="L204" t="str">
            <v>TOTAL - Total Austral</v>
          </cell>
          <cell r="M204" t="str">
            <v>VENTAS</v>
          </cell>
          <cell r="N204" t="str">
            <v>ARS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CL204" t="str">
            <v xml:space="preserve">BAU </v>
          </cell>
        </row>
        <row r="213">
          <cell r="H213" t="str">
            <v>PETROLEO</v>
          </cell>
          <cell r="I213" t="str">
            <v>YPF</v>
          </cell>
          <cell r="K213" t="str">
            <v>EVENTUAL</v>
          </cell>
          <cell r="L213" t="str">
            <v>YPF - Eventuales Z2 N</v>
          </cell>
          <cell r="M213" t="str">
            <v>VENTAS</v>
          </cell>
          <cell r="N213" t="str">
            <v>ARS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CL213" t="str">
            <v xml:space="preserve">BAU </v>
          </cell>
        </row>
        <row r="222">
          <cell r="H222" t="str">
            <v>PETROLEO</v>
          </cell>
          <cell r="I222" t="str">
            <v>YPF</v>
          </cell>
          <cell r="K222" t="str">
            <v>EVENTUAL</v>
          </cell>
          <cell r="L222" t="str">
            <v>YPF - Eventuales Z3 N</v>
          </cell>
          <cell r="M222" t="str">
            <v>VENTAS</v>
          </cell>
          <cell r="N222" t="str">
            <v>ARS</v>
          </cell>
          <cell r="AO222">
            <v>236919324.04000002</v>
          </cell>
          <cell r="AP222">
            <v>123074010.42800008</v>
          </cell>
          <cell r="AQ222">
            <v>202899763.43600005</v>
          </cell>
          <cell r="AR222">
            <v>220483136.80099991</v>
          </cell>
          <cell r="AS222">
            <v>250454391.97199985</v>
          </cell>
          <cell r="AT222">
            <v>114616328.47400004</v>
          </cell>
          <cell r="AU222">
            <v>398033280.64100009</v>
          </cell>
          <cell r="AV222">
            <v>50062592.552999884</v>
          </cell>
          <cell r="AW222">
            <v>294820641.06400013</v>
          </cell>
          <cell r="AX222">
            <v>217300172.50700015</v>
          </cell>
          <cell r="AY222">
            <v>373708046.25700009</v>
          </cell>
          <cell r="AZ222">
            <v>436560856.28600013</v>
          </cell>
          <cell r="BA222">
            <v>35219173.250000194</v>
          </cell>
          <cell r="BB222">
            <v>-65166635.060000032</v>
          </cell>
          <cell r="BC222">
            <v>201908663.653</v>
          </cell>
          <cell r="BD222">
            <v>426013694.09300029</v>
          </cell>
          <cell r="BE222">
            <v>379303436.05199909</v>
          </cell>
          <cell r="BF222">
            <v>76834347.037999868</v>
          </cell>
          <cell r="BG222">
            <v>-396997308.34100008</v>
          </cell>
          <cell r="BH222">
            <v>242781162.53999937</v>
          </cell>
          <cell r="BI222">
            <v>182668527.90799963</v>
          </cell>
          <cell r="BJ222">
            <v>-51093295.414000109</v>
          </cell>
          <cell r="BK222">
            <v>-4256711.5300002843</v>
          </cell>
          <cell r="BL222">
            <v>-213297554.58500034</v>
          </cell>
          <cell r="BM222">
            <v>-116140968.0590001</v>
          </cell>
          <cell r="BN222">
            <v>-140301320.99099997</v>
          </cell>
          <cell r="BO222">
            <v>80124785.130999997</v>
          </cell>
          <cell r="BP222">
            <v>137281251.84999999</v>
          </cell>
          <cell r="BQ222">
            <v>707379911.82176661</v>
          </cell>
          <cell r="BR222">
            <v>708002280.8721118</v>
          </cell>
          <cell r="BS222">
            <v>726829122.01602685</v>
          </cell>
          <cell r="BT222">
            <v>607036320.36529601</v>
          </cell>
          <cell r="BU222">
            <v>607493559.33620179</v>
          </cell>
          <cell r="BV222">
            <v>621899700.21579325</v>
          </cell>
          <cell r="BW222">
            <v>622279207.91128528</v>
          </cell>
          <cell r="BX222">
            <v>622734897.31908369</v>
          </cell>
          <cell r="CL222" t="str">
            <v xml:space="preserve">BAU </v>
          </cell>
        </row>
        <row r="231">
          <cell r="H231" t="str">
            <v>PETROLEO</v>
          </cell>
          <cell r="I231" t="str">
            <v>YPF</v>
          </cell>
          <cell r="K231" t="str">
            <v>FIJO</v>
          </cell>
          <cell r="L231" t="str">
            <v>YPF - Eventuales Z4 N</v>
          </cell>
          <cell r="M231" t="str">
            <v>VENTAS</v>
          </cell>
          <cell r="N231" t="str">
            <v>ARS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CL231" t="str">
            <v xml:space="preserve">BAU </v>
          </cell>
        </row>
        <row r="240">
          <cell r="H240" t="str">
            <v>PETROLEO</v>
          </cell>
          <cell r="I240" t="str">
            <v>YPF</v>
          </cell>
          <cell r="K240" t="str">
            <v>EVENTUAL</v>
          </cell>
          <cell r="L240" t="str">
            <v>YPF - Yac. Fijos - Z2 N</v>
          </cell>
          <cell r="M240" t="str">
            <v>VENTAS</v>
          </cell>
          <cell r="N240" t="str">
            <v>ARS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CL240" t="str">
            <v xml:space="preserve">BAU </v>
          </cell>
        </row>
        <row r="249">
          <cell r="H249" t="str">
            <v>PETROLEO</v>
          </cell>
          <cell r="I249" t="str">
            <v>YPF</v>
          </cell>
          <cell r="K249" t="str">
            <v>FIJO</v>
          </cell>
          <cell r="L249" t="str">
            <v>YPF - Yac. Fijos - Z3 N</v>
          </cell>
          <cell r="M249" t="str">
            <v>VENTAS</v>
          </cell>
          <cell r="N249" t="str">
            <v>ARS</v>
          </cell>
          <cell r="AO249">
            <v>284590375.96300006</v>
          </cell>
          <cell r="AP249">
            <v>337990257.972</v>
          </cell>
          <cell r="AQ249">
            <v>352568056.73500013</v>
          </cell>
          <cell r="AR249">
            <v>440016290.12299997</v>
          </cell>
          <cell r="AS249">
            <v>422268715.59099984</v>
          </cell>
          <cell r="AT249">
            <v>492304697.91899997</v>
          </cell>
          <cell r="AU249">
            <v>543511287.89899993</v>
          </cell>
          <cell r="AV249">
            <v>514813474.56499982</v>
          </cell>
          <cell r="AW249">
            <v>516723814.5799998</v>
          </cell>
          <cell r="AX249">
            <v>586074925.79100013</v>
          </cell>
          <cell r="AY249">
            <v>536727836.15100002</v>
          </cell>
          <cell r="AZ249">
            <v>540301348.45499992</v>
          </cell>
          <cell r="BA249">
            <v>613945212.81900012</v>
          </cell>
          <cell r="BB249">
            <v>616149795.80299997</v>
          </cell>
          <cell r="BC249">
            <v>665240545.42199993</v>
          </cell>
          <cell r="BD249">
            <v>640047305.69700003</v>
          </cell>
          <cell r="BE249">
            <v>614242945.05700004</v>
          </cell>
          <cell r="BF249">
            <v>631889218.8859998</v>
          </cell>
          <cell r="BG249">
            <v>870126109.50099981</v>
          </cell>
          <cell r="BH249">
            <v>686033105.04899991</v>
          </cell>
          <cell r="BI249">
            <v>860621256.91199982</v>
          </cell>
          <cell r="BJ249">
            <v>431637702.59299976</v>
          </cell>
          <cell r="BK249">
            <v>724596833.42200005</v>
          </cell>
          <cell r="BL249">
            <v>752806744.47300005</v>
          </cell>
          <cell r="BM249">
            <v>1023914323.307</v>
          </cell>
          <cell r="BN249">
            <v>855217694.87199986</v>
          </cell>
          <cell r="BO249">
            <v>152957550.80099988</v>
          </cell>
          <cell r="BP249">
            <v>1115123933.2400002</v>
          </cell>
          <cell r="BQ249">
            <v>824979340.46503091</v>
          </cell>
          <cell r="BR249">
            <v>825708775.85353267</v>
          </cell>
          <cell r="BS249">
            <v>847774404.23986828</v>
          </cell>
          <cell r="BT249">
            <v>848488332.32191145</v>
          </cell>
          <cell r="BU249">
            <v>849131409.83907759</v>
          </cell>
          <cell r="BV249">
            <v>869392730.28260839</v>
          </cell>
          <cell r="BW249">
            <v>869926483.70716655</v>
          </cell>
          <cell r="BX249">
            <v>870567381.86242533</v>
          </cell>
          <cell r="CL249" t="str">
            <v xml:space="preserve">BAU </v>
          </cell>
        </row>
        <row r="258">
          <cell r="H258" t="str">
            <v>PETROLEO</v>
          </cell>
          <cell r="I258" t="str">
            <v>YPF</v>
          </cell>
          <cell r="K258" t="str">
            <v>FIJO</v>
          </cell>
          <cell r="L258" t="str">
            <v>YPF - Yac. Fijos - Z4 N</v>
          </cell>
          <cell r="M258" t="str">
            <v>VENTAS</v>
          </cell>
          <cell r="N258" t="str">
            <v>ARS</v>
          </cell>
          <cell r="AO258">
            <v>6522891.3500000015</v>
          </cell>
          <cell r="AP258">
            <v>5852057.1399999987</v>
          </cell>
          <cell r="AQ258">
            <v>24657657.440000001</v>
          </cell>
          <cell r="AR258">
            <v>22175823.579999998</v>
          </cell>
          <cell r="AS258">
            <v>17481214.170000002</v>
          </cell>
          <cell r="AT258">
            <v>23452732.860000003</v>
          </cell>
          <cell r="AU258">
            <v>32820824.469999999</v>
          </cell>
          <cell r="AV258">
            <v>27071774.739999995</v>
          </cell>
          <cell r="AW258">
            <v>40761125.100000009</v>
          </cell>
          <cell r="AX258">
            <v>13480995.140000008</v>
          </cell>
          <cell r="AY258">
            <v>44218319.039999999</v>
          </cell>
          <cell r="AZ258">
            <v>-3619852.3799999952</v>
          </cell>
          <cell r="BA258">
            <v>15036680.470000003</v>
          </cell>
          <cell r="BB258">
            <v>16602750.210000001</v>
          </cell>
          <cell r="BC258">
            <v>25547222.079999998</v>
          </cell>
          <cell r="BD258">
            <v>24703136.079999998</v>
          </cell>
          <cell r="BE258">
            <v>24752631.989999998</v>
          </cell>
          <cell r="BF258">
            <v>31598803.889999997</v>
          </cell>
          <cell r="BG258">
            <v>26360706.739999995</v>
          </cell>
          <cell r="BH258">
            <v>26206517.149999999</v>
          </cell>
          <cell r="BI258">
            <v>29108864.530000001</v>
          </cell>
          <cell r="BJ258">
            <v>18755044.049999997</v>
          </cell>
          <cell r="BK258">
            <v>27302733.899999995</v>
          </cell>
          <cell r="BL258">
            <v>29277521.420000002</v>
          </cell>
          <cell r="BM258">
            <v>30127131.229999997</v>
          </cell>
          <cell r="BN258">
            <v>33553375.190000001</v>
          </cell>
          <cell r="BO258">
            <v>32005413.439999998</v>
          </cell>
          <cell r="BP258">
            <v>34485096.989999995</v>
          </cell>
          <cell r="BQ258">
            <v>28162982.740904924</v>
          </cell>
          <cell r="BR258">
            <v>28183217.15095105</v>
          </cell>
          <cell r="BS258">
            <v>28938374.923293497</v>
          </cell>
          <cell r="BT258">
            <v>28958176.095990371</v>
          </cell>
          <cell r="BU258">
            <v>28976009.345529947</v>
          </cell>
          <cell r="BV258">
            <v>29670026.535081204</v>
          </cell>
          <cell r="BW258">
            <v>29684826.552806303</v>
          </cell>
          <cell r="BX258">
            <v>29702595.433139265</v>
          </cell>
          <cell r="CL258" t="str">
            <v xml:space="preserve">BAU </v>
          </cell>
        </row>
        <row r="267">
          <cell r="H267" t="str">
            <v>PETROLEO</v>
          </cell>
          <cell r="I267" t="str">
            <v>YPF</v>
          </cell>
          <cell r="K267" t="str">
            <v>FIJO</v>
          </cell>
          <cell r="L267" t="str">
            <v>YPF - Eventuales Z3 P</v>
          </cell>
          <cell r="M267" t="str">
            <v>VENTAS</v>
          </cell>
          <cell r="N267" t="str">
            <v>ARS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CL267" t="str">
            <v xml:space="preserve">BAU </v>
          </cell>
        </row>
        <row r="276">
          <cell r="H276" t="str">
            <v>PETROLEO</v>
          </cell>
          <cell r="I276" t="str">
            <v>YPF</v>
          </cell>
          <cell r="K276" t="str">
            <v>EVENTUAL</v>
          </cell>
          <cell r="L276" t="str">
            <v>YPF - Eventuales Z4 P</v>
          </cell>
          <cell r="M276" t="str">
            <v>VENTAS</v>
          </cell>
          <cell r="N276" t="str">
            <v>ARS</v>
          </cell>
          <cell r="AO276">
            <v>0</v>
          </cell>
          <cell r="AP276">
            <v>-792007.46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CL276" t="str">
            <v xml:space="preserve">BAU </v>
          </cell>
        </row>
        <row r="285">
          <cell r="H285" t="str">
            <v>PETROLEO</v>
          </cell>
          <cell r="I285" t="str">
            <v>YPF</v>
          </cell>
          <cell r="K285" t="str">
            <v>FIJO</v>
          </cell>
          <cell r="L285" t="str">
            <v>YPF - Yac. Fijos - Z2 P</v>
          </cell>
          <cell r="M285" t="str">
            <v>VENTAS</v>
          </cell>
          <cell r="N285" t="str">
            <v>ARS</v>
          </cell>
          <cell r="AO285">
            <v>71415788.178000003</v>
          </cell>
          <cell r="AP285">
            <v>84874570.728999987</v>
          </cell>
          <cell r="AQ285">
            <v>88625469.472000018</v>
          </cell>
          <cell r="AR285">
            <v>110628224.831</v>
          </cell>
          <cell r="AS285">
            <v>114148884.35100004</v>
          </cell>
          <cell r="AT285">
            <v>118772270.48100004</v>
          </cell>
          <cell r="AU285">
            <v>137120357.211</v>
          </cell>
          <cell r="AV285">
            <v>133540595.145</v>
          </cell>
          <cell r="AW285">
            <v>123150762.73399994</v>
          </cell>
          <cell r="AX285">
            <v>149061264.50000006</v>
          </cell>
          <cell r="AY285">
            <v>127722102.98200001</v>
          </cell>
          <cell r="AZ285">
            <v>150851717.24099997</v>
          </cell>
          <cell r="BA285">
            <v>155146521.94399998</v>
          </cell>
          <cell r="BB285">
            <v>47995058.051999986</v>
          </cell>
          <cell r="BC285">
            <v>87568799.59300001</v>
          </cell>
          <cell r="BD285">
            <v>80381320.261000007</v>
          </cell>
          <cell r="BE285">
            <v>80477120.261000007</v>
          </cell>
          <cell r="BF285">
            <v>98572656.20100002</v>
          </cell>
          <cell r="BG285">
            <v>85241100.71100001</v>
          </cell>
          <cell r="BH285">
            <v>93080200.989999995</v>
          </cell>
          <cell r="BI285">
            <v>108689011.58999999</v>
          </cell>
          <cell r="BJ285">
            <v>56037220.611000001</v>
          </cell>
          <cell r="BK285">
            <v>108565806.97799999</v>
          </cell>
          <cell r="BL285">
            <v>1.0000030742958188E-3</v>
          </cell>
          <cell r="BM285">
            <v>197214793.64099997</v>
          </cell>
          <cell r="BN285">
            <v>112886720.30999999</v>
          </cell>
          <cell r="BO285">
            <v>106805387.47</v>
          </cell>
          <cell r="BP285">
            <v>113332065.23000002</v>
          </cell>
          <cell r="BQ285">
            <v>115437278.89457685</v>
          </cell>
          <cell r="BR285">
            <v>115511923.85429315</v>
          </cell>
          <cell r="BS285">
            <v>118607659.71567717</v>
          </cell>
          <cell r="BT285">
            <v>118680701.60844015</v>
          </cell>
          <cell r="BU285">
            <v>118746479.79503137</v>
          </cell>
          <cell r="BV285">
            <v>121592640.46946535</v>
          </cell>
          <cell r="BW285">
            <v>121647228.08194542</v>
          </cell>
          <cell r="BX285">
            <v>121712762.62469578</v>
          </cell>
          <cell r="CL285" t="str">
            <v xml:space="preserve">BAU </v>
          </cell>
        </row>
        <row r="294">
          <cell r="H294" t="str">
            <v>PETROLEO</v>
          </cell>
          <cell r="I294" t="str">
            <v>YPF</v>
          </cell>
          <cell r="K294" t="str">
            <v>FIJO</v>
          </cell>
          <cell r="L294" t="str">
            <v>YPF - Yac. Fijos - Z4 P</v>
          </cell>
          <cell r="M294" t="str">
            <v>VENTAS</v>
          </cell>
          <cell r="N294" t="str">
            <v>ARS</v>
          </cell>
          <cell r="AO294">
            <v>400459699.20499992</v>
          </cell>
          <cell r="AP294">
            <v>511734303.153</v>
          </cell>
          <cell r="AQ294">
            <v>527495952.48800021</v>
          </cell>
          <cell r="AR294">
            <v>583166475.64300013</v>
          </cell>
          <cell r="AS294">
            <v>675714566.65600026</v>
          </cell>
          <cell r="AT294">
            <v>770290503.65700054</v>
          </cell>
          <cell r="AU294">
            <v>861701318.98500013</v>
          </cell>
          <cell r="AV294">
            <v>1059749639.89</v>
          </cell>
          <cell r="AW294">
            <v>905440209.69700062</v>
          </cell>
          <cell r="AX294">
            <v>1106414410.723</v>
          </cell>
          <cell r="AY294">
            <v>882094301.55900013</v>
          </cell>
          <cell r="AZ294">
            <v>934436778.37600005</v>
          </cell>
          <cell r="BA294">
            <v>1339341669.3630002</v>
          </cell>
          <cell r="BB294">
            <v>885727494.95600009</v>
          </cell>
          <cell r="BC294">
            <v>1020009649.8039998</v>
          </cell>
          <cell r="BD294">
            <v>830525965.62900007</v>
          </cell>
          <cell r="BE294">
            <v>850079668.51099992</v>
          </cell>
          <cell r="BF294">
            <v>1506136588.0589995</v>
          </cell>
          <cell r="BG294">
            <v>1021571601.4590001</v>
          </cell>
          <cell r="BH294">
            <v>793663987.20499992</v>
          </cell>
          <cell r="BI294">
            <v>917877467.4339999</v>
          </cell>
          <cell r="BJ294">
            <v>600211326.71399999</v>
          </cell>
          <cell r="BK294">
            <v>792697798.92499995</v>
          </cell>
          <cell r="BL294">
            <v>1003639681.562</v>
          </cell>
          <cell r="BM294">
            <v>766908658.29299974</v>
          </cell>
          <cell r="BN294">
            <v>653978956.70200014</v>
          </cell>
          <cell r="BO294">
            <v>1302375112.5850003</v>
          </cell>
          <cell r="BP294">
            <v>620024490.55699992</v>
          </cell>
          <cell r="BQ294">
            <v>544676765.37118363</v>
          </cell>
          <cell r="BR294">
            <v>545067527.44302535</v>
          </cell>
          <cell r="BS294">
            <v>559650953.15275979</v>
          </cell>
          <cell r="BT294">
            <v>560033348.64886212</v>
          </cell>
          <cell r="BU294">
            <v>560377740.08512688</v>
          </cell>
          <cell r="BV294">
            <v>573780433.52984142</v>
          </cell>
          <cell r="BW294">
            <v>574066247.9210875</v>
          </cell>
          <cell r="BX294">
            <v>574409396.27467859</v>
          </cell>
          <cell r="CL294" t="str">
            <v xml:space="preserve">BAU </v>
          </cell>
        </row>
        <row r="303">
          <cell r="H303" t="str">
            <v>PETROLEO</v>
          </cell>
          <cell r="I303" t="str">
            <v>YPF</v>
          </cell>
          <cell r="K303" t="str">
            <v>EVENTUAL</v>
          </cell>
          <cell r="L303" t="str">
            <v>YPF - Minería</v>
          </cell>
          <cell r="M303" t="str">
            <v>VENTAS</v>
          </cell>
          <cell r="N303" t="str">
            <v>ARS</v>
          </cell>
          <cell r="AO303">
            <v>20156977.140000001</v>
          </cell>
          <cell r="AP303">
            <v>24515502.630000003</v>
          </cell>
          <cell r="AQ303">
            <v>30096829.259999994</v>
          </cell>
          <cell r="AR303">
            <v>30001497.949999996</v>
          </cell>
          <cell r="AS303">
            <v>33498398.860000007</v>
          </cell>
          <cell r="AT303">
            <v>36456573.740000002</v>
          </cell>
          <cell r="AU303">
            <v>38956749.960000001</v>
          </cell>
          <cell r="AV303">
            <v>40680513.579999998</v>
          </cell>
          <cell r="AW303">
            <v>42055252.282999992</v>
          </cell>
          <cell r="AX303">
            <v>43774284.909999989</v>
          </cell>
          <cell r="AY303">
            <v>43744423.919999994</v>
          </cell>
          <cell r="AZ303">
            <v>43992978.379999988</v>
          </cell>
          <cell r="BA303">
            <v>42089669.279999994</v>
          </cell>
          <cell r="BB303">
            <v>49676823.030000001</v>
          </cell>
          <cell r="BC303">
            <v>48560810.06000001</v>
          </cell>
          <cell r="BD303">
            <v>49219508.840000018</v>
          </cell>
          <cell r="BE303">
            <v>58006575.059999995</v>
          </cell>
          <cell r="BF303">
            <v>53610040.030000001</v>
          </cell>
          <cell r="BG303">
            <v>53408163.489999995</v>
          </cell>
          <cell r="BH303">
            <v>53393420.5</v>
          </cell>
          <cell r="BI303">
            <v>2266840.4699999932</v>
          </cell>
          <cell r="BJ303">
            <v>-1.1641532182693481E-10</v>
          </cell>
          <cell r="BK303">
            <v>0.32999999995809048</v>
          </cell>
          <cell r="BL303">
            <v>-238471.39999999991</v>
          </cell>
          <cell r="BM303">
            <v>0</v>
          </cell>
          <cell r="BN303">
            <v>36913221.329999998</v>
          </cell>
          <cell r="BO303">
            <v>59499948.339999996</v>
          </cell>
          <cell r="BP303">
            <v>59469948.420000002</v>
          </cell>
          <cell r="BQ303">
            <v>60521056.842479989</v>
          </cell>
          <cell r="BR303">
            <v>62131122.324373588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CL303" t="str">
            <v xml:space="preserve">BAU </v>
          </cell>
        </row>
        <row r="312">
          <cell r="H312" t="str">
            <v>PETROLEO</v>
          </cell>
          <cell r="I312" t="str">
            <v>YPF</v>
          </cell>
          <cell r="K312" t="str">
            <v>FIJO</v>
          </cell>
          <cell r="L312" t="str">
            <v>AJUSTE TARIFARIO C505258</v>
          </cell>
          <cell r="M312" t="str">
            <v>VENTAS</v>
          </cell>
          <cell r="N312" t="str">
            <v>ARS</v>
          </cell>
          <cell r="AO312">
            <v>-15324157.230000004</v>
          </cell>
          <cell r="AP312">
            <v>-13924870.019999992</v>
          </cell>
          <cell r="AQ312">
            <v>-7170212.7100000046</v>
          </cell>
          <cell r="AR312">
            <v>2445429.200000003</v>
          </cell>
          <cell r="AS312">
            <v>101605525.86</v>
          </cell>
          <cell r="AT312">
            <v>10299301.969999999</v>
          </cell>
          <cell r="AU312">
            <v>-26179921.850000039</v>
          </cell>
          <cell r="AV312">
            <v>39934896.860000007</v>
          </cell>
          <cell r="AW312">
            <v>-73994327.579999983</v>
          </cell>
          <cell r="AX312">
            <v>2852310.3200000077</v>
          </cell>
          <cell r="AY312">
            <v>51289772.280000001</v>
          </cell>
          <cell r="AZ312">
            <v>-46364325.870000005</v>
          </cell>
          <cell r="BA312">
            <v>44367249.56000001</v>
          </cell>
          <cell r="BB312">
            <v>-673243.37999999523</v>
          </cell>
          <cell r="BC312">
            <v>3588691.9099999964</v>
          </cell>
          <cell r="BD312">
            <v>45791002.060000002</v>
          </cell>
          <cell r="BE312">
            <v>7239057.2799999565</v>
          </cell>
          <cell r="BF312">
            <v>-79999604.770000041</v>
          </cell>
          <cell r="BG312">
            <v>38502567.870000005</v>
          </cell>
          <cell r="BH312">
            <v>38502567.869999997</v>
          </cell>
          <cell r="BI312">
            <v>-154070992.02000004</v>
          </cell>
          <cell r="BJ312">
            <v>-1.6298145055770874E-9</v>
          </cell>
          <cell r="BK312">
            <v>-1.6298145055770874E-9</v>
          </cell>
          <cell r="BL312">
            <v>5.8207660913467407E-9</v>
          </cell>
          <cell r="BM312">
            <v>-1861909.7600000033</v>
          </cell>
          <cell r="BN312">
            <v>0</v>
          </cell>
          <cell r="BO312">
            <v>-1.6298145055770874E-9</v>
          </cell>
          <cell r="BP312">
            <v>-1.6298145055770874E-9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CL312" t="str">
            <v xml:space="preserve">BAU </v>
          </cell>
        </row>
        <row r="321">
          <cell r="H321" t="str">
            <v>PETROLEO</v>
          </cell>
          <cell r="I321" t="str">
            <v xml:space="preserve">YPF REGIÓN 1  Urg y Emer </v>
          </cell>
          <cell r="K321" t="str">
            <v>FIJO</v>
          </cell>
          <cell r="L321" t="str">
            <v xml:space="preserve">YPF REGIÓN 1  Urg y Emer </v>
          </cell>
          <cell r="M321" t="str">
            <v>VENTAS</v>
          </cell>
          <cell r="N321" t="str">
            <v>ARS</v>
          </cell>
          <cell r="AO321">
            <v>39467480.52099999</v>
          </cell>
          <cell r="AP321">
            <v>50531593.92899999</v>
          </cell>
          <cell r="AQ321">
            <v>55374481.066999987</v>
          </cell>
          <cell r="AR321">
            <v>49359059.131000027</v>
          </cell>
          <cell r="AS321">
            <v>64013226.573000006</v>
          </cell>
          <cell r="AT321">
            <v>70446535.257000029</v>
          </cell>
          <cell r="AU321">
            <v>99356303.471000016</v>
          </cell>
          <cell r="AV321">
            <v>76875326.47299999</v>
          </cell>
          <cell r="AW321">
            <v>83759373.603999972</v>
          </cell>
          <cell r="AX321">
            <v>88585646.312999979</v>
          </cell>
          <cell r="AY321">
            <v>93881838.952000007</v>
          </cell>
          <cell r="AZ321">
            <v>95451318.555000037</v>
          </cell>
          <cell r="BA321">
            <v>93114835.653000012</v>
          </cell>
          <cell r="BB321">
            <v>95502398.48300001</v>
          </cell>
          <cell r="BC321">
            <v>101021140.272</v>
          </cell>
          <cell r="BD321">
            <v>103994816.62099998</v>
          </cell>
          <cell r="BE321">
            <v>104000565.102</v>
          </cell>
          <cell r="BF321">
            <v>115088022.442</v>
          </cell>
          <cell r="BG321">
            <v>110183962.58100002</v>
          </cell>
          <cell r="BH321">
            <v>107336446.10800001</v>
          </cell>
          <cell r="BI321">
            <v>110045548.64</v>
          </cell>
          <cell r="BJ321">
            <v>117763322.53100002</v>
          </cell>
          <cell r="BK321">
            <v>117781178.35100001</v>
          </cell>
          <cell r="BL321">
            <v>167568078.11999997</v>
          </cell>
          <cell r="BM321">
            <v>120055737.72000001</v>
          </cell>
          <cell r="BN321">
            <v>118933174.10300003</v>
          </cell>
          <cell r="BO321">
            <v>125164459.03100006</v>
          </cell>
          <cell r="BP321">
            <v>128472239.47999999</v>
          </cell>
          <cell r="BQ321">
            <v>135480998.13252082</v>
          </cell>
          <cell r="BR321">
            <v>139068719.29186898</v>
          </cell>
          <cell r="BS321">
            <v>142424144.2018199</v>
          </cell>
          <cell r="BT321">
            <v>145931685.44490102</v>
          </cell>
          <cell r="BU321">
            <v>149203574.98992798</v>
          </cell>
          <cell r="BV321">
            <v>152214297.80890799</v>
          </cell>
          <cell r="BW321">
            <v>154978625.36498234</v>
          </cell>
          <cell r="BX321">
            <v>157643123.30792707</v>
          </cell>
          <cell r="CL321" t="str">
            <v xml:space="preserve">BAU </v>
          </cell>
        </row>
        <row r="330">
          <cell r="H330" t="str">
            <v>MINERIA</v>
          </cell>
          <cell r="I330" t="str">
            <v>Ganfeng</v>
          </cell>
          <cell r="K330" t="str">
            <v>Minería</v>
          </cell>
          <cell r="L330" t="str">
            <v>PPG</v>
          </cell>
          <cell r="M330" t="str">
            <v>VENTAS</v>
          </cell>
          <cell r="N330" t="str">
            <v>ARS</v>
          </cell>
          <cell r="AO330">
            <v>11478471.520999998</v>
          </cell>
          <cell r="AP330">
            <v>12561506.151000001</v>
          </cell>
          <cell r="AQ330">
            <v>14537828.9009875</v>
          </cell>
          <cell r="AR330">
            <v>16646224.059999999</v>
          </cell>
          <cell r="AS330">
            <v>15296492.888999999</v>
          </cell>
          <cell r="AT330">
            <v>17035052.399000004</v>
          </cell>
          <cell r="AU330">
            <v>26997186.882999994</v>
          </cell>
          <cell r="AV330">
            <v>22233818.370000001</v>
          </cell>
          <cell r="AW330">
            <v>21380902.979999989</v>
          </cell>
          <cell r="AX330">
            <v>24442704.760000002</v>
          </cell>
          <cell r="AY330">
            <v>25268216.311000001</v>
          </cell>
          <cell r="AZ330">
            <v>26066643.821000002</v>
          </cell>
          <cell r="BA330">
            <v>26075742.061000001</v>
          </cell>
          <cell r="BB330">
            <v>26614450.400999997</v>
          </cell>
          <cell r="BC330">
            <v>27353252.559999999</v>
          </cell>
          <cell r="BD330">
            <v>28182618.841000002</v>
          </cell>
          <cell r="BE330">
            <v>27731046.043000001</v>
          </cell>
          <cell r="BF330">
            <v>28570130.323000003</v>
          </cell>
          <cell r="BG330">
            <v>28365449.423</v>
          </cell>
          <cell r="BH330">
            <v>0</v>
          </cell>
          <cell r="BI330">
            <v>82403.930999998003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9761178.3876096178</v>
          </cell>
          <cell r="BR330">
            <v>19481746.076441802</v>
          </cell>
          <cell r="BS330">
            <v>29414985.151843391</v>
          </cell>
          <cell r="BT330">
            <v>29738549.988513667</v>
          </cell>
          <cell r="BU330">
            <v>30065674.038387313</v>
          </cell>
          <cell r="BV330">
            <v>30396396.452809568</v>
          </cell>
          <cell r="BW330">
            <v>30730756.813790474</v>
          </cell>
          <cell r="BX330">
            <v>31068795.138742164</v>
          </cell>
          <cell r="CL330" t="str">
            <v>BAU bis</v>
          </cell>
        </row>
        <row r="339">
          <cell r="H339" t="str">
            <v>PETROLEO</v>
          </cell>
          <cell r="I339" t="str">
            <v>Petróleo - Área Protegida</v>
          </cell>
          <cell r="K339" t="str">
            <v>AP</v>
          </cell>
          <cell r="L339" t="str">
            <v>Petróleo - Área Protegida</v>
          </cell>
          <cell r="M339" t="str">
            <v>VENTAS</v>
          </cell>
          <cell r="N339" t="str">
            <v>ARS</v>
          </cell>
          <cell r="AO339">
            <v>206225.35</v>
          </cell>
          <cell r="AP339">
            <v>245254.82</v>
          </cell>
          <cell r="AQ339">
            <v>-257697.68</v>
          </cell>
          <cell r="AR339">
            <v>79625</v>
          </cell>
          <cell r="AS339">
            <v>192115.39</v>
          </cell>
          <cell r="AT339">
            <v>23590.000000000029</v>
          </cell>
          <cell r="AU339">
            <v>0</v>
          </cell>
          <cell r="AV339">
            <v>256004.89</v>
          </cell>
          <cell r="AW339">
            <v>259896.89</v>
          </cell>
          <cell r="AX339">
            <v>230055.89</v>
          </cell>
          <cell r="AY339">
            <v>293914.89</v>
          </cell>
          <cell r="AZ339">
            <v>264073.88999999966</v>
          </cell>
          <cell r="BA339">
            <v>264073.89</v>
          </cell>
          <cell r="BB339">
            <v>264073.89</v>
          </cell>
          <cell r="BC339">
            <v>264073.89</v>
          </cell>
          <cell r="BD339">
            <v>264073.89</v>
          </cell>
          <cell r="BE339">
            <v>344349.89</v>
          </cell>
          <cell r="BF339">
            <v>266291.13</v>
          </cell>
          <cell r="BG339">
            <v>460903.89</v>
          </cell>
          <cell r="BH339">
            <v>1335463.1399999999</v>
          </cell>
          <cell r="BI339">
            <v>784561.69</v>
          </cell>
          <cell r="BJ339">
            <v>827146.73</v>
          </cell>
          <cell r="BK339">
            <v>6706904.6799999997</v>
          </cell>
          <cell r="BL339">
            <v>932285.24000000011</v>
          </cell>
          <cell r="BM339">
            <v>932282.70000000007</v>
          </cell>
          <cell r="BN339">
            <v>1886119.0999999999</v>
          </cell>
          <cell r="BO339">
            <v>1300444.3</v>
          </cell>
          <cell r="BP339">
            <v>5032240.5600000005</v>
          </cell>
          <cell r="BQ339">
            <v>2027609.7565505747</v>
          </cell>
          <cell r="BR339">
            <v>2076169.3469947861</v>
          </cell>
          <cell r="BS339">
            <v>2128073.5806696555</v>
          </cell>
          <cell r="BT339">
            <v>2176611.612025585</v>
          </cell>
          <cell r="BU339">
            <v>2221292.2091959333</v>
          </cell>
          <cell r="BV339">
            <v>2262330.2132493611</v>
          </cell>
          <cell r="BW339">
            <v>2299946.7701658476</v>
          </cell>
          <cell r="BX339">
            <v>2345837.1948676803</v>
          </cell>
          <cell r="CL339" t="str">
            <v xml:space="preserve">BAU </v>
          </cell>
        </row>
        <row r="345">
          <cell r="H345" t="str">
            <v>PETROLEO</v>
          </cell>
          <cell r="I345" t="str">
            <v>Petróleo - DEA</v>
          </cell>
          <cell r="J345"/>
          <cell r="K345" t="str">
            <v>DEA</v>
          </cell>
          <cell r="L345" t="str">
            <v>Petróleo - DEA</v>
          </cell>
          <cell r="M345" t="str">
            <v>VENTAS</v>
          </cell>
          <cell r="N345" t="str">
            <v>ARS</v>
          </cell>
          <cell r="AO345">
            <v>3536.4700000000012</v>
          </cell>
          <cell r="AP345">
            <v>4243.760000000002</v>
          </cell>
          <cell r="AQ345">
            <v>-25462.58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CL345" t="str">
            <v xml:space="preserve">ELIMINAR </v>
          </cell>
        </row>
        <row r="349">
          <cell r="H349" t="str">
            <v>MINERIA</v>
          </cell>
          <cell r="I349" t="str">
            <v>Lundin GOLD</v>
          </cell>
          <cell r="J349" t="str">
            <v>N/A</v>
          </cell>
          <cell r="K349" t="str">
            <v>Minería</v>
          </cell>
          <cell r="L349" t="str">
            <v>Don peter</v>
          </cell>
          <cell r="M349" t="str">
            <v>VENTAS</v>
          </cell>
          <cell r="N349" t="str">
            <v>ARS</v>
          </cell>
          <cell r="AO349">
            <v>28054198.149999999</v>
          </cell>
          <cell r="AP349">
            <v>28054198.149999999</v>
          </cell>
          <cell r="AQ349">
            <v>49263172.160000004</v>
          </cell>
          <cell r="AR349">
            <v>40846912.509999998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1208400.1000000001</v>
          </cell>
          <cell r="AX349">
            <v>31912209.439999998</v>
          </cell>
          <cell r="AY349">
            <v>41838761.325000003</v>
          </cell>
          <cell r="AZ349">
            <v>40183750</v>
          </cell>
          <cell r="BA349">
            <v>40677812.5</v>
          </cell>
          <cell r="BB349">
            <v>40737817.969999999</v>
          </cell>
          <cell r="BC349">
            <v>41732789.560000002</v>
          </cell>
          <cell r="BD349">
            <v>46277187.5</v>
          </cell>
          <cell r="BE349">
            <v>17665774.334999993</v>
          </cell>
          <cell r="BF349">
            <v>0</v>
          </cell>
          <cell r="BG349">
            <v>0</v>
          </cell>
          <cell r="BH349">
            <v>0</v>
          </cell>
          <cell r="BI349">
            <v>16406916.6</v>
          </cell>
          <cell r="BJ349">
            <v>54526987.635000005</v>
          </cell>
          <cell r="BK349">
            <v>54987728.349999994</v>
          </cell>
          <cell r="BL349">
            <v>56658566.330000006</v>
          </cell>
          <cell r="BM349">
            <v>55585372.799999997</v>
          </cell>
          <cell r="BN349">
            <v>53371534.920000002</v>
          </cell>
          <cell r="BO349">
            <v>55015816.079999998</v>
          </cell>
          <cell r="BP349">
            <v>53434790.439999998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31462189.278625663</v>
          </cell>
          <cell r="BV349">
            <v>63616546.721381083</v>
          </cell>
          <cell r="BW349">
            <v>64316328.735316269</v>
          </cell>
          <cell r="BX349">
            <v>65023808.351404749</v>
          </cell>
          <cell r="CL349" t="str">
            <v xml:space="preserve">BAU </v>
          </cell>
        </row>
        <row r="359">
          <cell r="H359" t="str">
            <v>OTRAS OP DEDICADAS</v>
          </cell>
          <cell r="I359" t="str">
            <v>SACDE</v>
          </cell>
          <cell r="K359" t="str">
            <v>AP</v>
          </cell>
          <cell r="L359" t="str">
            <v>SACDE - Techint</v>
          </cell>
          <cell r="M359" t="str">
            <v>VENTAS</v>
          </cell>
          <cell r="N359" t="str">
            <v>ARS</v>
          </cell>
          <cell r="AO359">
            <v>-356883.75</v>
          </cell>
          <cell r="AP359">
            <v>4773.859999999986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CL359" t="str">
            <v xml:space="preserve">BAU </v>
          </cell>
        </row>
        <row r="368">
          <cell r="H368" t="str">
            <v>MINERIA</v>
          </cell>
          <cell r="I368" t="str">
            <v>AGV- Servicios Mineros</v>
          </cell>
          <cell r="K368" t="str">
            <v>AP</v>
          </cell>
          <cell r="L368" t="str">
            <v>Proyecto Tren Belgrano</v>
          </cell>
          <cell r="M368" t="str">
            <v>VENTAS</v>
          </cell>
          <cell r="N368" t="str">
            <v>ARS</v>
          </cell>
          <cell r="AO368">
            <v>0</v>
          </cell>
          <cell r="AP368">
            <v>0</v>
          </cell>
          <cell r="AQ368">
            <v>10153926</v>
          </cell>
          <cell r="AR368">
            <v>10171224</v>
          </cell>
          <cell r="AS368">
            <v>10384566</v>
          </cell>
          <cell r="AT368">
            <v>-3391500.8600000003</v>
          </cell>
          <cell r="AU368">
            <v>184576.44999999998</v>
          </cell>
          <cell r="AV368">
            <v>198338.97</v>
          </cell>
          <cell r="AW368">
            <v>518682.62</v>
          </cell>
          <cell r="AX368">
            <v>452294.52999999991</v>
          </cell>
          <cell r="AY368">
            <v>109768.27</v>
          </cell>
          <cell r="AZ368">
            <v>0</v>
          </cell>
          <cell r="BA368">
            <v>0</v>
          </cell>
          <cell r="BB368">
            <v>0</v>
          </cell>
          <cell r="BC368">
            <v>163745.54999999999</v>
          </cell>
          <cell r="BD368">
            <v>91935.86</v>
          </cell>
          <cell r="BE368">
            <v>116383.55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18319427.155598495</v>
          </cell>
          <cell r="BT368">
            <v>18520940.854310077</v>
          </cell>
          <cell r="BU368">
            <v>18724671.203707486</v>
          </cell>
          <cell r="BV368">
            <v>18930642.586948264</v>
          </cell>
          <cell r="BW368">
            <v>19138879.655404694</v>
          </cell>
          <cell r="BX368">
            <v>19349407.331614144</v>
          </cell>
          <cell r="CL368" t="str">
            <v>NN</v>
          </cell>
        </row>
        <row r="374">
          <cell r="H374" t="str">
            <v>PETROLEO</v>
          </cell>
          <cell r="I374" t="str">
            <v>Petróleo - Eventos</v>
          </cell>
          <cell r="J374"/>
          <cell r="K374" t="str">
            <v>DEA</v>
          </cell>
          <cell r="L374" t="str">
            <v>Petróleo - Eventos</v>
          </cell>
          <cell r="M374" t="str">
            <v>VENTAS</v>
          </cell>
          <cell r="N374" t="str">
            <v>ARS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CL374" t="str">
            <v xml:space="preserve">ELIMINAR </v>
          </cell>
        </row>
        <row r="378">
          <cell r="H378" t="str">
            <v>PETROLEO</v>
          </cell>
          <cell r="I378" t="str">
            <v>ACONCAGUA</v>
          </cell>
          <cell r="K378" t="str">
            <v>FIJO</v>
          </cell>
          <cell r="L378" t="str">
            <v>ACONCAGUA</v>
          </cell>
          <cell r="M378" t="str">
            <v>VENTAS</v>
          </cell>
          <cell r="N378" t="str">
            <v>ARS</v>
          </cell>
          <cell r="AO378">
            <v>37327234.879999995</v>
          </cell>
          <cell r="AP378">
            <v>42810971.219999999</v>
          </cell>
          <cell r="AQ378">
            <v>44214784.409999996</v>
          </cell>
          <cell r="AR378">
            <v>60590796.979999997</v>
          </cell>
          <cell r="AS378">
            <v>65418088.940000013</v>
          </cell>
          <cell r="AT378">
            <v>65636199.840000004</v>
          </cell>
          <cell r="AU378">
            <v>76554593.849999994</v>
          </cell>
          <cell r="AV378">
            <v>70596616.559999973</v>
          </cell>
          <cell r="AW378">
            <v>69477012.88000001</v>
          </cell>
          <cell r="AX378">
            <v>77000453.799999997</v>
          </cell>
          <cell r="AY378">
            <v>79387048.219999999</v>
          </cell>
          <cell r="AZ378">
            <v>79788326.799999982</v>
          </cell>
          <cell r="BA378">
            <v>80562600.409999996</v>
          </cell>
          <cell r="BB378">
            <v>79439899.379999995</v>
          </cell>
          <cell r="BC378">
            <v>89520970.37999998</v>
          </cell>
          <cell r="BD378">
            <v>82702003.329999998</v>
          </cell>
          <cell r="BE378">
            <v>84997756.090000004</v>
          </cell>
          <cell r="BF378">
            <v>62089022.129999988</v>
          </cell>
          <cell r="BG378">
            <v>45679085.42999997</v>
          </cell>
          <cell r="BH378">
            <v>46416447.810000002</v>
          </cell>
          <cell r="BI378">
            <v>47521617.989999995</v>
          </cell>
          <cell r="BJ378">
            <v>51444987.529999994</v>
          </cell>
          <cell r="BK378">
            <v>44526191.070000015</v>
          </cell>
          <cell r="BL378">
            <v>52984599.669999987</v>
          </cell>
          <cell r="BM378">
            <v>51514013.500000015</v>
          </cell>
          <cell r="BN378">
            <v>57336391.109999992</v>
          </cell>
          <cell r="BO378">
            <v>53582561.119999997</v>
          </cell>
          <cell r="BP378">
            <v>57620110.220000014</v>
          </cell>
          <cell r="BQ378">
            <v>57508471.037794627</v>
          </cell>
          <cell r="BR378">
            <v>57700057.78541822</v>
          </cell>
          <cell r="BS378">
            <v>59122303.499346167</v>
          </cell>
          <cell r="BT378">
            <v>59310285.970089011</v>
          </cell>
          <cell r="BU378">
            <v>59480049.017903589</v>
          </cell>
          <cell r="BV378">
            <v>60767167.917246118</v>
          </cell>
          <cell r="BW378">
            <v>60908309.598944865</v>
          </cell>
          <cell r="BX378">
            <v>61078102.043176018</v>
          </cell>
          <cell r="CL378" t="str">
            <v xml:space="preserve">BAU </v>
          </cell>
        </row>
        <row r="387">
          <cell r="H387" t="str">
            <v>PETROLEO</v>
          </cell>
          <cell r="I387" t="str">
            <v>Oilfield &amp; Production Services srl</v>
          </cell>
          <cell r="K387" t="str">
            <v>FIJO</v>
          </cell>
          <cell r="L387" t="str">
            <v>Oilfield &amp; Production Services srl</v>
          </cell>
          <cell r="M387" t="str">
            <v>VENTAS</v>
          </cell>
          <cell r="N387" t="str">
            <v>ARS</v>
          </cell>
          <cell r="AO387">
            <v>46388552.16300001</v>
          </cell>
          <cell r="AP387">
            <v>14434038.040000012</v>
          </cell>
          <cell r="AQ387">
            <v>17566209.745999992</v>
          </cell>
          <cell r="AR387">
            <v>16437856.570999995</v>
          </cell>
          <cell r="AS387">
            <v>17887324.77</v>
          </cell>
          <cell r="AT387">
            <v>19214322.041000005</v>
          </cell>
          <cell r="AU387">
            <v>20946896.91</v>
          </cell>
          <cell r="AV387">
            <v>21463545.731999997</v>
          </cell>
          <cell r="AW387">
            <v>10198035.800000001</v>
          </cell>
          <cell r="AX387">
            <v>347142</v>
          </cell>
          <cell r="AY387">
            <v>0</v>
          </cell>
          <cell r="AZ387">
            <v>466104.6</v>
          </cell>
          <cell r="BA387">
            <v>744385.54</v>
          </cell>
          <cell r="BB387">
            <v>490178.39</v>
          </cell>
          <cell r="BC387">
            <v>513049.02</v>
          </cell>
          <cell r="BD387">
            <v>513049.02</v>
          </cell>
          <cell r="BE387">
            <v>546981.44999999995</v>
          </cell>
          <cell r="BF387">
            <v>546981.44999999995</v>
          </cell>
          <cell r="BG387">
            <v>564180.37999999989</v>
          </cell>
          <cell r="BH387">
            <v>602240.47000000009</v>
          </cell>
          <cell r="BI387">
            <v>616170.86</v>
          </cell>
          <cell r="BJ387">
            <v>625231.46000000008</v>
          </cell>
          <cell r="BK387">
            <v>614018.12</v>
          </cell>
          <cell r="BL387">
            <v>614018.12</v>
          </cell>
          <cell r="BM387">
            <v>687792.42000000016</v>
          </cell>
          <cell r="BN387">
            <v>669088.5</v>
          </cell>
          <cell r="BO387">
            <v>680775.43</v>
          </cell>
          <cell r="BP387">
            <v>724681.31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CL387" t="str">
            <v>NN</v>
          </cell>
        </row>
        <row r="393">
          <cell r="H393" t="str">
            <v>MINERIA</v>
          </cell>
          <cell r="I393" t="str">
            <v>Glencore</v>
          </cell>
          <cell r="K393" t="str">
            <v>FIJO</v>
          </cell>
          <cell r="L393" t="str">
            <v>Glencore El pachon</v>
          </cell>
          <cell r="M393" t="str">
            <v>VENTAS</v>
          </cell>
          <cell r="N393" t="str">
            <v>ARS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CL393" t="str">
            <v>NN</v>
          </cell>
        </row>
        <row r="399">
          <cell r="H399" t="str">
            <v>MINERIA</v>
          </cell>
          <cell r="I399" t="str">
            <v>SESA</v>
          </cell>
          <cell r="K399" t="str">
            <v>FIJO</v>
          </cell>
          <cell r="L399" t="str">
            <v>Arizaro</v>
          </cell>
          <cell r="M399" t="str">
            <v>VENTAS</v>
          </cell>
          <cell r="N399" t="str">
            <v>ARS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CL399" t="str">
            <v xml:space="preserve">BAU </v>
          </cell>
        </row>
        <row r="405">
          <cell r="H405" t="str">
            <v>PETROLEO</v>
          </cell>
          <cell r="I405" t="str">
            <v xml:space="preserve">YPF PSICOSOCIAL </v>
          </cell>
          <cell r="K405" t="str">
            <v>FIJO</v>
          </cell>
          <cell r="L405" t="str">
            <v xml:space="preserve">YPF PSICOSOCIAL </v>
          </cell>
          <cell r="M405" t="str">
            <v>VENTAS</v>
          </cell>
          <cell r="N405" t="str">
            <v>ARS</v>
          </cell>
          <cell r="AO405">
            <v>9192809.6799999997</v>
          </cell>
          <cell r="AP405">
            <v>12289876.930000002</v>
          </cell>
          <cell r="AQ405">
            <v>15452881.149999999</v>
          </cell>
          <cell r="AR405">
            <v>14837553.060000004</v>
          </cell>
          <cell r="AS405">
            <v>16028194.649999999</v>
          </cell>
          <cell r="AT405">
            <v>19390462.039999999</v>
          </cell>
          <cell r="AU405">
            <v>19818298.48</v>
          </cell>
          <cell r="AV405">
            <v>18881767.43</v>
          </cell>
          <cell r="AW405">
            <v>18098604.509999998</v>
          </cell>
          <cell r="AX405">
            <v>25116475.310000002</v>
          </cell>
          <cell r="AY405">
            <v>21722066.73</v>
          </cell>
          <cell r="AZ405">
            <v>20380128.319999997</v>
          </cell>
          <cell r="BA405">
            <v>18043167.260000002</v>
          </cell>
          <cell r="BB405">
            <v>18942520.82</v>
          </cell>
          <cell r="BC405">
            <v>19352376.990000002</v>
          </cell>
          <cell r="BD405">
            <v>19905403.82</v>
          </cell>
          <cell r="BE405">
            <v>19792547.059999999</v>
          </cell>
          <cell r="BF405">
            <v>21810315.560000002</v>
          </cell>
          <cell r="BG405">
            <v>22397046.420000006</v>
          </cell>
          <cell r="BH405">
            <v>21422134.41</v>
          </cell>
          <cell r="BI405">
            <v>25432720.390000004</v>
          </cell>
          <cell r="BJ405">
            <v>22986259.949999999</v>
          </cell>
          <cell r="BK405">
            <v>29584740.200000003</v>
          </cell>
          <cell r="BL405">
            <v>21305802.43</v>
          </cell>
          <cell r="BM405">
            <v>21816629.490000002</v>
          </cell>
          <cell r="BN405">
            <v>19918219.140000001</v>
          </cell>
          <cell r="BO405">
            <v>21586575.150000002</v>
          </cell>
          <cell r="BP405">
            <v>22886362.619999997</v>
          </cell>
          <cell r="BQ405">
            <v>26792896.95348414</v>
          </cell>
          <cell r="BR405">
            <v>27510583.349275082</v>
          </cell>
          <cell r="BS405">
            <v>28171462.861411668</v>
          </cell>
          <cell r="BT405">
            <v>28871427.664672028</v>
          </cell>
          <cell r="BU405">
            <v>29525330.207370516</v>
          </cell>
          <cell r="BV405">
            <v>30127171.57970462</v>
          </cell>
          <cell r="BW405">
            <v>30679869.901608333</v>
          </cell>
          <cell r="BX405">
            <v>31197136.594376534</v>
          </cell>
          <cell r="CL405" t="str">
            <v xml:space="preserve">BAU </v>
          </cell>
        </row>
        <row r="414">
          <cell r="H414" t="str">
            <v>OTRAS OP DEDICADAS</v>
          </cell>
          <cell r="I414" t="str">
            <v>Vestas</v>
          </cell>
          <cell r="K414" t="str">
            <v>Parque Eólico</v>
          </cell>
          <cell r="L414" t="str">
            <v xml:space="preserve">Vestas - Wayra - Pepe VI </v>
          </cell>
          <cell r="M414" t="str">
            <v>VENTAS</v>
          </cell>
          <cell r="N414" t="str">
            <v>ARS</v>
          </cell>
          <cell r="AO414">
            <v>15685868.710000001</v>
          </cell>
          <cell r="AP414">
            <v>11824644.299999999</v>
          </cell>
          <cell r="AQ414">
            <v>15097087.830000002</v>
          </cell>
          <cell r="AR414">
            <v>20091415.68</v>
          </cell>
          <cell r="AS414">
            <v>24834321.610999994</v>
          </cell>
          <cell r="AT414">
            <v>22546922.130000003</v>
          </cell>
          <cell r="AU414">
            <v>25930269.979999997</v>
          </cell>
          <cell r="AV414">
            <v>26969351.409000002</v>
          </cell>
          <cell r="AW414">
            <v>26687647.785999995</v>
          </cell>
          <cell r="AX414">
            <v>26254936.260999996</v>
          </cell>
          <cell r="AY414">
            <v>18414975.199999999</v>
          </cell>
          <cell r="AZ414">
            <v>2313495.3950000051</v>
          </cell>
          <cell r="BA414">
            <v>11605593.1</v>
          </cell>
          <cell r="BB414">
            <v>586166.24</v>
          </cell>
          <cell r="BC414">
            <v>14239539.480999999</v>
          </cell>
          <cell r="BD414">
            <v>7321765.2350000003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3652282.4579999996</v>
          </cell>
          <cell r="BK414">
            <v>0</v>
          </cell>
          <cell r="BL414">
            <v>-9738435.5199999996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CL414" t="str">
            <v xml:space="preserve">BAU </v>
          </cell>
        </row>
        <row r="420">
          <cell r="H420" t="str">
            <v>MINERIA</v>
          </cell>
          <cell r="I420" t="str">
            <v>Ganfeng</v>
          </cell>
          <cell r="K420" t="str">
            <v>Minería</v>
          </cell>
          <cell r="L420" t="str">
            <v>Mariana</v>
          </cell>
          <cell r="M420" t="str">
            <v>VENTAS</v>
          </cell>
          <cell r="N420" t="str">
            <v>ARS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52265683.899999999</v>
          </cell>
          <cell r="BG420">
            <v>39406237.750000007</v>
          </cell>
          <cell r="BH420">
            <v>57649831.919000007</v>
          </cell>
          <cell r="BI420">
            <v>62776686.168999985</v>
          </cell>
          <cell r="BJ420">
            <v>60139507.681000002</v>
          </cell>
          <cell r="BK420">
            <v>60464233.710000001</v>
          </cell>
          <cell r="BL420">
            <v>61019442.929000005</v>
          </cell>
          <cell r="BM420">
            <v>60403290.949999996</v>
          </cell>
          <cell r="BN420">
            <v>56595362.998999998</v>
          </cell>
          <cell r="BO420">
            <v>61503096.859999992</v>
          </cell>
          <cell r="BP420">
            <v>60784086.018999994</v>
          </cell>
          <cell r="BQ420">
            <v>66320041.692793511</v>
          </cell>
          <cell r="BR420">
            <v>67049562.151414238</v>
          </cell>
          <cell r="BS420">
            <v>67787107.335079789</v>
          </cell>
          <cell r="BT420">
            <v>68532765.515765652</v>
          </cell>
          <cell r="BU420">
            <v>69286625.936439067</v>
          </cell>
          <cell r="BV420">
            <v>70048778.821739897</v>
          </cell>
          <cell r="BW420">
            <v>70819315.388779029</v>
          </cell>
          <cell r="BX420">
            <v>71598327.858055592</v>
          </cell>
          <cell r="CL420" t="str">
            <v xml:space="preserve">BAU </v>
          </cell>
        </row>
        <row r="429">
          <cell r="H429" t="str">
            <v>OTRAS OP DEDICADAS</v>
          </cell>
          <cell r="I429" t="str">
            <v>SACDE</v>
          </cell>
          <cell r="K429" t="str">
            <v>AP</v>
          </cell>
          <cell r="L429" t="str">
            <v>SACDE - Gasoducto TGS C.Ordoqui</v>
          </cell>
          <cell r="M429" t="str">
            <v>VENTAS</v>
          </cell>
          <cell r="N429" t="str">
            <v>ARS</v>
          </cell>
          <cell r="AO429">
            <v>30692085.681000002</v>
          </cell>
          <cell r="AP429">
            <v>46490658.341000006</v>
          </cell>
          <cell r="AQ429">
            <v>83913610.421000019</v>
          </cell>
          <cell r="AR429">
            <v>91228971.769999981</v>
          </cell>
          <cell r="AS429">
            <v>98891362.001000002</v>
          </cell>
          <cell r="AT429">
            <v>111551173.51100001</v>
          </cell>
          <cell r="AU429">
            <v>76956725.130999997</v>
          </cell>
          <cell r="AV429">
            <v>67670701.160000011</v>
          </cell>
          <cell r="AW429">
            <v>83197353.195368916</v>
          </cell>
          <cell r="AX429">
            <v>72094292.57099998</v>
          </cell>
          <cell r="AY429">
            <v>86354042.650000006</v>
          </cell>
          <cell r="AZ429">
            <v>51599372.001000002</v>
          </cell>
          <cell r="BA429">
            <v>47562041.5</v>
          </cell>
          <cell r="BB429">
            <v>50896979.791000001</v>
          </cell>
          <cell r="BC429">
            <v>50290217.399999999</v>
          </cell>
          <cell r="BD429">
            <v>49018182.620999992</v>
          </cell>
          <cell r="BE429">
            <v>36992095.071000002</v>
          </cell>
          <cell r="BF429">
            <v>27995514.340999987</v>
          </cell>
          <cell r="BG429">
            <v>10973804.449999999</v>
          </cell>
          <cell r="BH429">
            <v>-1916298.2089999989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CL429" t="str">
            <v xml:space="preserve">BAU </v>
          </cell>
        </row>
        <row r="438">
          <cell r="H438" t="str">
            <v>OTRAS OP DEDICADAS</v>
          </cell>
          <cell r="I438" t="str">
            <v>SACDE</v>
          </cell>
          <cell r="K438" t="str">
            <v>AP</v>
          </cell>
          <cell r="L438" t="str">
            <v>SACDE - Cordoba</v>
          </cell>
          <cell r="M438" t="str">
            <v>VENTAS</v>
          </cell>
          <cell r="N438" t="str">
            <v>ARS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2872450</v>
          </cell>
          <cell r="AX438">
            <v>5702850</v>
          </cell>
          <cell r="AY438">
            <v>3404125.6299995231</v>
          </cell>
          <cell r="AZ438">
            <v>3078350.0000014305</v>
          </cell>
          <cell r="BA438">
            <v>3077625</v>
          </cell>
          <cell r="BB438">
            <v>3069650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CL438" t="str">
            <v xml:space="preserve">BAU </v>
          </cell>
        </row>
        <row r="447">
          <cell r="H447" t="str">
            <v>MINERIA</v>
          </cell>
          <cell r="I447" t="str">
            <v>HANAQ</v>
          </cell>
          <cell r="K447" t="str">
            <v>AP</v>
          </cell>
          <cell r="L447" t="str">
            <v xml:space="preserve">HANAQ - Salta - Proyecto Doncella </v>
          </cell>
          <cell r="M447" t="str">
            <v>VENTAS</v>
          </cell>
          <cell r="N447" t="str">
            <v>ARS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5034120</v>
          </cell>
          <cell r="AY447">
            <v>5315497.5</v>
          </cell>
          <cell r="AZ447">
            <v>5054379.5</v>
          </cell>
          <cell r="BA447">
            <v>5225941.25</v>
          </cell>
          <cell r="BB447">
            <v>5174837.75</v>
          </cell>
          <cell r="BC447">
            <v>5256360</v>
          </cell>
          <cell r="BD447">
            <v>5469291.25</v>
          </cell>
          <cell r="BE447">
            <v>5833099.5</v>
          </cell>
          <cell r="BF447">
            <v>10542227.550000001</v>
          </cell>
          <cell r="BG447">
            <v>9578313.0149999987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9795478.0999999996</v>
          </cell>
          <cell r="BQ447">
            <v>19315631.181978457</v>
          </cell>
          <cell r="BR447">
            <v>19528103.124980219</v>
          </cell>
          <cell r="BS447">
            <v>19742912.259355001</v>
          </cell>
          <cell r="BT447">
            <v>19960084.294207904</v>
          </cell>
          <cell r="BU447">
            <v>20179645.221444186</v>
          </cell>
          <cell r="BV447">
            <v>20401621.31888007</v>
          </cell>
          <cell r="BW447">
            <v>0</v>
          </cell>
          <cell r="BX447">
            <v>0</v>
          </cell>
          <cell r="CL447" t="str">
            <v xml:space="preserve">BAU </v>
          </cell>
        </row>
        <row r="456">
          <cell r="H456" t="str">
            <v>PETROLEO</v>
          </cell>
          <cell r="I456" t="str">
            <v>MILICIC</v>
          </cell>
          <cell r="L456" t="str">
            <v>Proyecto VMOC</v>
          </cell>
          <cell r="M456" t="str">
            <v>VENTAS</v>
          </cell>
          <cell r="N456" t="str">
            <v>ARS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0.25</v>
          </cell>
          <cell r="BR456">
            <v>0.25</v>
          </cell>
          <cell r="BS456">
            <v>0.25</v>
          </cell>
          <cell r="BT456">
            <v>0.25</v>
          </cell>
          <cell r="BU456">
            <v>48618472.21031481</v>
          </cell>
          <cell r="BV456">
            <v>49606512.210289069</v>
          </cell>
          <cell r="BW456">
            <v>50513819.546158783</v>
          </cell>
          <cell r="BX456">
            <v>51370528.733192883</v>
          </cell>
          <cell r="CL456" t="str">
            <v>NN</v>
          </cell>
        </row>
        <row r="465">
          <cell r="H465" t="str">
            <v>MINERIA</v>
          </cell>
          <cell r="I465" t="str">
            <v>Ganfeng</v>
          </cell>
          <cell r="K465" t="str">
            <v>Minería</v>
          </cell>
          <cell r="L465" t="str">
            <v>Guemes</v>
          </cell>
          <cell r="M465" t="str">
            <v>VENTAS</v>
          </cell>
          <cell r="N465" t="str">
            <v>ARS</v>
          </cell>
          <cell r="AO465">
            <v>5137998.18</v>
          </cell>
          <cell r="AP465">
            <v>6105467.1600000001</v>
          </cell>
          <cell r="AQ465">
            <v>11414064.330000002</v>
          </cell>
          <cell r="AR465">
            <v>11207064.331</v>
          </cell>
          <cell r="AS465">
            <v>19988356.279999975</v>
          </cell>
          <cell r="AT465">
            <v>15386696.790000007</v>
          </cell>
          <cell r="AU465">
            <v>17952476.810000002</v>
          </cell>
          <cell r="AV465">
            <v>23460246.740000002</v>
          </cell>
          <cell r="AW465">
            <v>20137129.968999997</v>
          </cell>
          <cell r="AX465">
            <v>20822131.613000005</v>
          </cell>
          <cell r="AY465">
            <v>23515100.75</v>
          </cell>
          <cell r="AZ465">
            <v>72446462.340999991</v>
          </cell>
          <cell r="BA465">
            <v>28657034.439000003</v>
          </cell>
          <cell r="BB465">
            <v>27104566.398999996</v>
          </cell>
          <cell r="BC465">
            <v>25444200.43</v>
          </cell>
          <cell r="BD465">
            <v>32919651.710000016</v>
          </cell>
          <cell r="BE465">
            <v>35226168.020999998</v>
          </cell>
          <cell r="BF465">
            <v>18563564.671000004</v>
          </cell>
          <cell r="BG465">
            <v>24028645.299999997</v>
          </cell>
          <cell r="BH465">
            <v>13492546.689000003</v>
          </cell>
          <cell r="BI465">
            <v>19364310.300000004</v>
          </cell>
          <cell r="BJ465">
            <v>20877840.840000004</v>
          </cell>
          <cell r="BK465">
            <v>21716185.09999999</v>
          </cell>
          <cell r="BL465">
            <v>25094205.169999994</v>
          </cell>
          <cell r="BM465">
            <v>28687692.91</v>
          </cell>
          <cell r="BN465">
            <v>19526575.170000002</v>
          </cell>
          <cell r="BO465">
            <v>27684454.099999998</v>
          </cell>
          <cell r="BP465">
            <v>29700098.569999997</v>
          </cell>
          <cell r="BQ465">
            <v>20084401.696391154</v>
          </cell>
          <cell r="BR465">
            <v>20305330.115051452</v>
          </cell>
          <cell r="BS465">
            <v>20528688.746317018</v>
          </cell>
          <cell r="BT465">
            <v>20754504.322526503</v>
          </cell>
          <cell r="BU465">
            <v>20982803.870074291</v>
          </cell>
          <cell r="BV465">
            <v>21213614.712645106</v>
          </cell>
          <cell r="BW465">
            <v>17872470.395403501</v>
          </cell>
          <cell r="BX465">
            <v>18069067.569752939</v>
          </cell>
          <cell r="CL465" t="str">
            <v xml:space="preserve">BAU </v>
          </cell>
        </row>
        <row r="474">
          <cell r="H474" t="str">
            <v>OTRAS OP DEDICADAS</v>
          </cell>
          <cell r="I474" t="str">
            <v>Vestas</v>
          </cell>
          <cell r="K474" t="str">
            <v>Parque Eólico</v>
          </cell>
          <cell r="L474" t="str">
            <v>Vestas - La Rinconada</v>
          </cell>
          <cell r="M474" t="str">
            <v>VENTAS</v>
          </cell>
          <cell r="N474" t="str">
            <v>ARS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2544622.14</v>
          </cell>
          <cell r="BB474">
            <v>14339315.119999999</v>
          </cell>
          <cell r="BC474">
            <v>14112401.091999998</v>
          </cell>
          <cell r="BD474">
            <v>14646788.934999999</v>
          </cell>
          <cell r="BE474">
            <v>19564465.875</v>
          </cell>
          <cell r="BF474">
            <v>15779225.689999999</v>
          </cell>
          <cell r="BG474">
            <v>17647832.901000001</v>
          </cell>
          <cell r="BH474">
            <v>17737786.383000001</v>
          </cell>
          <cell r="BI474">
            <v>17429849.465</v>
          </cell>
          <cell r="BJ474">
            <v>912369.5</v>
          </cell>
          <cell r="BK474">
            <v>0</v>
          </cell>
          <cell r="BL474">
            <v>0</v>
          </cell>
          <cell r="BM474">
            <v>13333521.699999999</v>
          </cell>
          <cell r="BN474">
            <v>11751228.9</v>
          </cell>
          <cell r="BO474">
            <v>19112676.030999999</v>
          </cell>
          <cell r="BP474">
            <v>18792312.629999999</v>
          </cell>
          <cell r="BQ474">
            <v>0</v>
          </cell>
          <cell r="BR474">
            <v>22774667.948043641</v>
          </cell>
          <cell r="BS474">
            <v>23025189.295472119</v>
          </cell>
          <cell r="BT474">
            <v>23278466.377722308</v>
          </cell>
          <cell r="BU474">
            <v>23534529.507877253</v>
          </cell>
          <cell r="BV474">
            <v>23793409.332463898</v>
          </cell>
          <cell r="BW474">
            <v>24055136.835120998</v>
          </cell>
          <cell r="BX474">
            <v>27882209.021082357</v>
          </cell>
          <cell r="CL474" t="str">
            <v>NN</v>
          </cell>
        </row>
        <row r="480">
          <cell r="H480" t="str">
            <v>OTRAS OP DEDICADAS</v>
          </cell>
          <cell r="I480" t="str">
            <v>PECOM</v>
          </cell>
          <cell r="K480" t="str">
            <v>AP</v>
          </cell>
          <cell r="L480" t="str">
            <v>PECOM</v>
          </cell>
          <cell r="M480" t="str">
            <v>VENTAS</v>
          </cell>
          <cell r="N480" t="str">
            <v>ARS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11605171.289999999</v>
          </cell>
          <cell r="BM480">
            <v>18827558.170000002</v>
          </cell>
          <cell r="BN480">
            <v>18432907</v>
          </cell>
          <cell r="BO480">
            <v>20068408.379999999</v>
          </cell>
          <cell r="BP480">
            <v>20068408</v>
          </cell>
          <cell r="BQ480">
            <v>17807446.60717589</v>
          </cell>
          <cell r="BR480">
            <v>17807446.60717589</v>
          </cell>
          <cell r="BS480">
            <v>18689768.354826555</v>
          </cell>
          <cell r="BT480">
            <v>18689768.354826555</v>
          </cell>
          <cell r="BU480">
            <v>19508459.301106013</v>
          </cell>
          <cell r="BV480">
            <v>19508459.301106013</v>
          </cell>
          <cell r="BW480">
            <v>20199241.583227899</v>
          </cell>
          <cell r="BX480">
            <v>20199241.583227899</v>
          </cell>
          <cell r="CL480" t="str">
            <v>BAU bis</v>
          </cell>
        </row>
        <row r="489">
          <cell r="H489" t="str">
            <v>MINERIA</v>
          </cell>
          <cell r="I489" t="str">
            <v>Glencore</v>
          </cell>
          <cell r="K489" t="str">
            <v>FIJO</v>
          </cell>
          <cell r="L489" t="str">
            <v>Glencore - Mina Mara</v>
          </cell>
          <cell r="M489" t="str">
            <v>VENTAS</v>
          </cell>
          <cell r="N489" t="str">
            <v>ARS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CL489" t="str">
            <v>NN</v>
          </cell>
        </row>
        <row r="495">
          <cell r="H495" t="str">
            <v>MINERIA</v>
          </cell>
          <cell r="I495" t="str">
            <v>Minera Arg del SUD</v>
          </cell>
          <cell r="K495" t="str">
            <v>FIJO</v>
          </cell>
          <cell r="L495" t="str">
            <v>Minera Arg del SUD</v>
          </cell>
          <cell r="M495" t="str">
            <v>VENTAS</v>
          </cell>
          <cell r="N495" t="str">
            <v>ARS</v>
          </cell>
          <cell r="AO495">
            <v>0</v>
          </cell>
          <cell r="AP495">
            <v>0</v>
          </cell>
          <cell r="AQ495">
            <v>8059387.5</v>
          </cell>
          <cell r="AR495">
            <v>8136576</v>
          </cell>
          <cell r="AS495">
            <v>8300034</v>
          </cell>
          <cell r="AT495">
            <v>9408831.75</v>
          </cell>
          <cell r="AU495">
            <v>9600539.8499999996</v>
          </cell>
          <cell r="AV495">
            <v>8835725.4299999997</v>
          </cell>
          <cell r="AW495">
            <v>2047897.52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10555057.048313126</v>
          </cell>
          <cell r="BV495">
            <v>21342325.351689138</v>
          </cell>
          <cell r="BW495">
            <v>21577090.930557717</v>
          </cell>
          <cell r="BX495">
            <v>21814438.930793852</v>
          </cell>
          <cell r="CL495" t="str">
            <v>NN</v>
          </cell>
        </row>
        <row r="501">
          <cell r="H501" t="str">
            <v>MINERIA</v>
          </cell>
          <cell r="I501" t="str">
            <v xml:space="preserve">GWK Mineral </v>
          </cell>
          <cell r="K501" t="str">
            <v>FIJO</v>
          </cell>
          <cell r="L501" t="str">
            <v>Proyecto del Toro</v>
          </cell>
          <cell r="M501" t="str">
            <v>VENTAS</v>
          </cell>
          <cell r="N501" t="str">
            <v>ARS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11588755.5</v>
          </cell>
          <cell r="BL501">
            <v>20845497.611000001</v>
          </cell>
          <cell r="BM501">
            <v>20616771</v>
          </cell>
          <cell r="BN501">
            <v>19465845</v>
          </cell>
          <cell r="BO501">
            <v>20007540</v>
          </cell>
          <cell r="BP501">
            <v>20288940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23319855.967256609</v>
          </cell>
          <cell r="BX501">
            <v>23576374.382896431</v>
          </cell>
          <cell r="CL501" t="str">
            <v>BAU bis</v>
          </cell>
        </row>
        <row r="507">
          <cell r="H507" t="str">
            <v>MINERIA</v>
          </cell>
          <cell r="I507" t="str">
            <v>SALES DE JUJUY</v>
          </cell>
          <cell r="K507" t="str">
            <v>FIJO</v>
          </cell>
          <cell r="L507" t="str">
            <v>Sales de Jujuy</v>
          </cell>
          <cell r="M507" t="str">
            <v>VENTAS</v>
          </cell>
          <cell r="N507" t="str">
            <v>ARS</v>
          </cell>
          <cell r="AT507">
            <v>0</v>
          </cell>
          <cell r="AU507">
            <v>0</v>
          </cell>
          <cell r="AV507">
            <v>8399163.5999999996</v>
          </cell>
          <cell r="AW507">
            <v>0</v>
          </cell>
          <cell r="AX507">
            <v>614959.97</v>
          </cell>
          <cell r="AY507">
            <v>2918864</v>
          </cell>
          <cell r="AZ507">
            <v>5367786.6399999997</v>
          </cell>
          <cell r="BA507">
            <v>1886426.6300000001</v>
          </cell>
          <cell r="BB507">
            <v>5675267.2200000007</v>
          </cell>
          <cell r="BC507">
            <v>3998753.86</v>
          </cell>
          <cell r="BD507">
            <v>13840783.789999999</v>
          </cell>
          <cell r="BE507">
            <v>2933026.87</v>
          </cell>
          <cell r="BF507">
            <v>0</v>
          </cell>
          <cell r="BG507">
            <v>0</v>
          </cell>
          <cell r="BH507">
            <v>401892.75</v>
          </cell>
          <cell r="BI507">
            <v>-663622.06500000041</v>
          </cell>
          <cell r="BJ507">
            <v>0</v>
          </cell>
          <cell r="BK507">
            <v>0</v>
          </cell>
          <cell r="BL507">
            <v>0</v>
          </cell>
          <cell r="BM507">
            <v>4199119.75</v>
          </cell>
          <cell r="BN507">
            <v>0</v>
          </cell>
          <cell r="BO507">
            <v>1.0000001639127731E-3</v>
          </cell>
          <cell r="BP507">
            <v>0</v>
          </cell>
          <cell r="CL507" t="str">
            <v xml:space="preserve">BAU </v>
          </cell>
        </row>
        <row r="513">
          <cell r="H513" t="str">
            <v>MINERIA</v>
          </cell>
          <cell r="I513" t="str">
            <v>Proyecto La Coipita</v>
          </cell>
          <cell r="L513" t="str">
            <v>Proyecto La Coipita</v>
          </cell>
          <cell r="M513" t="str">
            <v>VENTAS</v>
          </cell>
          <cell r="N513" t="str">
            <v>ARS</v>
          </cell>
          <cell r="AX513">
            <v>0</v>
          </cell>
          <cell r="AY513">
            <v>4966454.25</v>
          </cell>
          <cell r="AZ513">
            <v>7290111</v>
          </cell>
          <cell r="BA513">
            <v>13384545.114999998</v>
          </cell>
          <cell r="BB513">
            <v>16446639.380999999</v>
          </cell>
          <cell r="BC513">
            <v>16583903.235000001</v>
          </cell>
          <cell r="BD513">
            <v>10703279.9</v>
          </cell>
          <cell r="BE513">
            <v>1322532.495000001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30853243.679684523</v>
          </cell>
          <cell r="BV513">
            <v>31192629.360161047</v>
          </cell>
          <cell r="BW513">
            <v>31535748.283122819</v>
          </cell>
          <cell r="BX513">
            <v>31882641.514237165</v>
          </cell>
          <cell r="CL513" t="str">
            <v>NN</v>
          </cell>
        </row>
        <row r="519">
          <cell r="H519" t="str">
            <v>PETROLEO</v>
          </cell>
          <cell r="I519" t="str">
            <v xml:space="preserve">PAMPA ENERGÍA </v>
          </cell>
          <cell r="K519" t="str">
            <v>Minería</v>
          </cell>
          <cell r="L519" t="str">
            <v xml:space="preserve">PAMPA ENERGÍA - Buenos Aires </v>
          </cell>
          <cell r="M519" t="str">
            <v>VENTAS</v>
          </cell>
          <cell r="N519" t="str">
            <v>ARS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CL519" t="str">
            <v>NN</v>
          </cell>
        </row>
        <row r="528">
          <cell r="H528" t="str">
            <v>PETROLEO</v>
          </cell>
          <cell r="I528" t="str">
            <v>GeoPark</v>
          </cell>
          <cell r="L528" t="str">
            <v>GeoPark</v>
          </cell>
          <cell r="M528" t="str">
            <v>VENTAS</v>
          </cell>
          <cell r="N528" t="str">
            <v>ARS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CL528" t="str">
            <v>NN</v>
          </cell>
        </row>
        <row r="537">
          <cell r="H537" t="str">
            <v>MINERIA</v>
          </cell>
          <cell r="I537" t="str">
            <v>HANAQ</v>
          </cell>
          <cell r="K537" t="str">
            <v>AP</v>
          </cell>
          <cell r="L537" t="str">
            <v>HANAQ - La Rioja  - Caballos</v>
          </cell>
          <cell r="M537" t="str">
            <v>VENTAS</v>
          </cell>
          <cell r="N537" t="str">
            <v>ARS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28596798.95939406</v>
          </cell>
          <cell r="BT537">
            <v>28911363.747947395</v>
          </cell>
          <cell r="BU537">
            <v>29229388.749174811</v>
          </cell>
          <cell r="CL537" t="str">
            <v>NN</v>
          </cell>
        </row>
        <row r="546">
          <cell r="H546" t="str">
            <v>MINERIA</v>
          </cell>
          <cell r="I546" t="str">
            <v>HANAQ</v>
          </cell>
          <cell r="K546" t="str">
            <v>AP</v>
          </cell>
          <cell r="L546" t="str">
            <v xml:space="preserve">HANAQ - Jujuy - Providencia </v>
          </cell>
          <cell r="M546" t="str">
            <v>VENTAS</v>
          </cell>
          <cell r="N546" t="str">
            <v>ARS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CL546" t="str">
            <v>NN</v>
          </cell>
        </row>
        <row r="555">
          <cell r="H555" t="str">
            <v>MINERIA</v>
          </cell>
          <cell r="I555" t="str">
            <v>Lundin GOLD</v>
          </cell>
          <cell r="J555" t="str">
            <v>N/A</v>
          </cell>
          <cell r="K555" t="str">
            <v>Minería</v>
          </cell>
          <cell r="L555" t="str">
            <v>JOSE MARÍA USD</v>
          </cell>
          <cell r="M555" t="str">
            <v>VENTAS</v>
          </cell>
          <cell r="N555" t="str">
            <v>ARS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722086774.5866611</v>
          </cell>
          <cell r="BR555">
            <v>755128895.20264447</v>
          </cell>
          <cell r="BS555">
            <v>763435313.04987347</v>
          </cell>
          <cell r="BT555">
            <v>834741929.58925569</v>
          </cell>
          <cell r="BU555">
            <v>856547220.74942625</v>
          </cell>
          <cell r="BV555">
            <v>865969240.17766976</v>
          </cell>
          <cell r="BW555">
            <v>875494901.81962407</v>
          </cell>
          <cell r="BX555">
            <v>885125345.73963988</v>
          </cell>
          <cell r="CL555" t="str">
            <v xml:space="preserve">BAU </v>
          </cell>
        </row>
        <row r="560">
          <cell r="H560" t="str">
            <v>OTRAS OP DEDICADAS</v>
          </cell>
          <cell r="I560" t="str">
            <v>NORDEX</v>
          </cell>
          <cell r="L560" t="str">
            <v>NORDEX</v>
          </cell>
          <cell r="M560" t="str">
            <v>VENTAS</v>
          </cell>
          <cell r="N560" t="str">
            <v>ARS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CL560" t="str">
            <v>NN</v>
          </cell>
        </row>
        <row r="569">
          <cell r="H569" t="str">
            <v>PETROLEO</v>
          </cell>
          <cell r="I569" t="str">
            <v xml:space="preserve">PAMPA ENERGÍA </v>
          </cell>
          <cell r="K569" t="str">
            <v>Minería</v>
          </cell>
          <cell r="L569" t="str">
            <v>PAMPA ENERGÍA - Neuquen LLL</v>
          </cell>
          <cell r="M569" t="str">
            <v>VENTAS</v>
          </cell>
          <cell r="N569" t="str">
            <v>ARS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CL569" t="str">
            <v>NN</v>
          </cell>
        </row>
        <row r="578">
          <cell r="H578" t="str">
            <v>PETROLEO</v>
          </cell>
          <cell r="I578" t="str">
            <v>REFIPAMPA</v>
          </cell>
          <cell r="L578" t="str">
            <v>REFIPAMPA</v>
          </cell>
          <cell r="M578" t="str">
            <v>VENTAS</v>
          </cell>
          <cell r="N578" t="str">
            <v>ARS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CL578" t="str">
            <v>NN</v>
          </cell>
        </row>
        <row r="587">
          <cell r="H587" t="str">
            <v>OTRAS OP DEDICADAS</v>
          </cell>
          <cell r="I587" t="str">
            <v>SACDE</v>
          </cell>
          <cell r="K587" t="str">
            <v>AP</v>
          </cell>
          <cell r="L587" t="str">
            <v>SACDE - Mangrullo</v>
          </cell>
          <cell r="M587" t="str">
            <v>VENTAS</v>
          </cell>
          <cell r="N587" t="str">
            <v>ARS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CL587" t="str">
            <v>NN</v>
          </cell>
        </row>
        <row r="596">
          <cell r="H596" t="str">
            <v>OTRAS OP DEDICADAS</v>
          </cell>
          <cell r="I596" t="str">
            <v>SACDE</v>
          </cell>
          <cell r="K596" t="str">
            <v>AP</v>
          </cell>
          <cell r="L596" t="str">
            <v xml:space="preserve">SACDE - Sauce Viejo </v>
          </cell>
          <cell r="M596" t="str">
            <v>VENTAS</v>
          </cell>
          <cell r="N596" t="str">
            <v>ARS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CL596" t="str">
            <v>NN</v>
          </cell>
        </row>
        <row r="605">
          <cell r="H605" t="str">
            <v>MINERIA</v>
          </cell>
          <cell r="I605" t="str">
            <v>SESA</v>
          </cell>
          <cell r="K605" t="str">
            <v>FIJO</v>
          </cell>
          <cell r="L605" t="str">
            <v>Proyecto Diablillos</v>
          </cell>
          <cell r="M605" t="str">
            <v>VENTAS</v>
          </cell>
          <cell r="N605" t="str">
            <v>ARS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12046401.561644748</v>
          </cell>
          <cell r="BU605">
            <v>24357823.957645677</v>
          </cell>
          <cell r="BV605">
            <v>24625760.021179777</v>
          </cell>
          <cell r="BW605">
            <v>24896643.381412752</v>
          </cell>
          <cell r="BX605">
            <v>0</v>
          </cell>
          <cell r="CL605" t="str">
            <v>NN</v>
          </cell>
        </row>
        <row r="611">
          <cell r="H611" t="str">
            <v>OTRAS OP DEDICADAS</v>
          </cell>
          <cell r="I611" t="str">
            <v xml:space="preserve">INTEGRA </v>
          </cell>
          <cell r="L611" t="str">
            <v xml:space="preserve">INTEGRA </v>
          </cell>
          <cell r="M611" t="str">
            <v>VENTAS</v>
          </cell>
          <cell r="N611" t="str">
            <v>ARS</v>
          </cell>
          <cell r="BA611">
            <v>0</v>
          </cell>
          <cell r="BB611">
            <v>0</v>
          </cell>
          <cell r="BC611">
            <v>16998726.440000001</v>
          </cell>
          <cell r="BD611">
            <v>16998726.440000001</v>
          </cell>
          <cell r="BE611">
            <v>18122984.98</v>
          </cell>
          <cell r="BF611">
            <v>18122984.98</v>
          </cell>
          <cell r="BG611">
            <v>18692916.720000003</v>
          </cell>
          <cell r="BH611">
            <v>18692916.730999999</v>
          </cell>
          <cell r="BI611">
            <v>19405635.57</v>
          </cell>
          <cell r="BJ611">
            <v>5007905.9510000022</v>
          </cell>
          <cell r="BK611">
            <v>1.0000001639127731E-3</v>
          </cell>
          <cell r="BL611">
            <v>13534647.231000001</v>
          </cell>
          <cell r="BM611">
            <v>19979717.329999998</v>
          </cell>
          <cell r="BN611">
            <v>21140252.641000003</v>
          </cell>
          <cell r="BO611">
            <v>21140244.479999997</v>
          </cell>
          <cell r="BP611">
            <v>22488414.850000001</v>
          </cell>
          <cell r="BQ611">
            <v>22456649.276037589</v>
          </cell>
          <cell r="BR611">
            <v>23615318.230607383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CL611" t="str">
            <v xml:space="preserve">BAU </v>
          </cell>
        </row>
        <row r="620">
          <cell r="H620" t="str">
            <v>OTRAS OP DEDICADAS</v>
          </cell>
          <cell r="I620" t="str">
            <v>EPEN</v>
          </cell>
          <cell r="L620" t="str">
            <v>Obras Infraestructura EPEN</v>
          </cell>
          <cell r="M620" t="str">
            <v>VENTAS</v>
          </cell>
          <cell r="N620" t="str">
            <v>ARS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5576199.6654041903</v>
          </cell>
          <cell r="BT620">
            <v>5715604.657039295</v>
          </cell>
          <cell r="BU620">
            <v>5845968.6635198286</v>
          </cell>
          <cell r="BV620">
            <v>5965972.3286119811</v>
          </cell>
          <cell r="BW620">
            <v>6076192.6749449112</v>
          </cell>
          <cell r="BX620">
            <v>6177223.6589515824</v>
          </cell>
          <cell r="CL620" t="str">
            <v>NN</v>
          </cell>
        </row>
        <row r="629">
          <cell r="H629" t="str">
            <v>OTRAS OP DEDICADAS</v>
          </cell>
          <cell r="I629" t="str">
            <v>TGS</v>
          </cell>
          <cell r="L629" t="str">
            <v xml:space="preserve">TGS - Río Salado </v>
          </cell>
          <cell r="M629" t="str">
            <v>VENTAS</v>
          </cell>
          <cell r="N629" t="str">
            <v>ARS</v>
          </cell>
          <cell r="BA629">
            <v>0</v>
          </cell>
          <cell r="BB629">
            <v>0</v>
          </cell>
          <cell r="BC629">
            <v>0</v>
          </cell>
          <cell r="BD629">
            <v>466899.06</v>
          </cell>
          <cell r="BE629">
            <v>0</v>
          </cell>
          <cell r="BF629">
            <v>0</v>
          </cell>
          <cell r="BG629">
            <v>-6905.570000000007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CL629" t="str">
            <v>NN</v>
          </cell>
        </row>
        <row r="638">
          <cell r="H638" t="str">
            <v>PETROLEO</v>
          </cell>
          <cell r="I638" t="str">
            <v>YPF</v>
          </cell>
          <cell r="K638" t="str">
            <v>EVENTUAL</v>
          </cell>
          <cell r="L638" t="str">
            <v xml:space="preserve">YPF VMOS - Fijo </v>
          </cell>
          <cell r="M638" t="str">
            <v>VENTAS</v>
          </cell>
          <cell r="N638" t="str">
            <v>ARS</v>
          </cell>
          <cell r="BB638">
            <v>75772768.140000001</v>
          </cell>
          <cell r="BC638">
            <v>83847661.789999992</v>
          </cell>
          <cell r="BD638">
            <v>469803597.50999999</v>
          </cell>
          <cell r="BE638">
            <v>826645033.9000001</v>
          </cell>
          <cell r="BF638">
            <v>479986219.76000035</v>
          </cell>
          <cell r="BG638">
            <v>874572405.61000001</v>
          </cell>
          <cell r="BH638">
            <v>820082775.63999999</v>
          </cell>
          <cell r="BI638">
            <v>809843134.54000008</v>
          </cell>
          <cell r="BJ638">
            <v>36677952.180000067</v>
          </cell>
          <cell r="BK638">
            <v>30582563.073999971</v>
          </cell>
          <cell r="BL638">
            <v>39555087.83000011</v>
          </cell>
          <cell r="BM638">
            <v>8493992.8500000648</v>
          </cell>
          <cell r="BN638">
            <v>2685390.9700000547</v>
          </cell>
          <cell r="BO638">
            <v>8735239.0809999928</v>
          </cell>
          <cell r="BP638">
            <v>5868996.839999998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CL638" t="str">
            <v>NN</v>
          </cell>
        </row>
        <row r="647">
          <cell r="H647" t="str">
            <v>PETROLEO</v>
          </cell>
          <cell r="I647" t="str">
            <v>QUINTANA E&amp;P</v>
          </cell>
          <cell r="K647" t="str">
            <v>FIJO</v>
          </cell>
          <cell r="L647" t="str">
            <v>EFO</v>
          </cell>
          <cell r="M647" t="str">
            <v>VENTAS</v>
          </cell>
          <cell r="N647" t="str">
            <v>ARS</v>
          </cell>
          <cell r="BB647">
            <v>50839455.219999999</v>
          </cell>
          <cell r="BC647">
            <v>77966732.219999999</v>
          </cell>
          <cell r="BD647">
            <v>20271350.370000005</v>
          </cell>
          <cell r="BE647">
            <v>-159999.99999999627</v>
          </cell>
          <cell r="BF647">
            <v>0</v>
          </cell>
          <cell r="BG647">
            <v>153868406.56</v>
          </cell>
          <cell r="BH647">
            <v>125381077.33000001</v>
          </cell>
          <cell r="BI647">
            <v>69852</v>
          </cell>
          <cell r="BJ647">
            <v>-2709046.3999999985</v>
          </cell>
          <cell r="BK647">
            <v>-2148399.1099999994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CL647" t="str">
            <v xml:space="preserve">BAU </v>
          </cell>
        </row>
        <row r="656">
          <cell r="H656" t="str">
            <v>OTRAS OP DEDICADAS</v>
          </cell>
          <cell r="I656" t="str">
            <v>GENNEIA</v>
          </cell>
          <cell r="K656" t="str">
            <v>FIJO</v>
          </cell>
          <cell r="L656" t="str">
            <v>Parque Solar San Juan Sur</v>
          </cell>
          <cell r="M656" t="str">
            <v>VENTAS</v>
          </cell>
          <cell r="N656" t="str">
            <v>ARS</v>
          </cell>
          <cell r="BC656">
            <v>0</v>
          </cell>
          <cell r="BD656">
            <v>11432766</v>
          </cell>
          <cell r="BE656">
            <v>35732479.5</v>
          </cell>
          <cell r="BF656">
            <v>24655716</v>
          </cell>
          <cell r="BG656">
            <v>28968432</v>
          </cell>
          <cell r="BH656">
            <v>26753945</v>
          </cell>
          <cell r="BI656">
            <v>30216626.5</v>
          </cell>
          <cell r="BJ656">
            <v>14969972.76</v>
          </cell>
          <cell r="BK656">
            <v>0</v>
          </cell>
          <cell r="BL656">
            <v>-836673.50899999961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CL656" t="str">
            <v xml:space="preserve">BAU </v>
          </cell>
        </row>
        <row r="662">
          <cell r="H662" t="str">
            <v>PETROLEO</v>
          </cell>
          <cell r="I662" t="str">
            <v xml:space="preserve">BENTIA </v>
          </cell>
          <cell r="K662" t="str">
            <v>FIJO</v>
          </cell>
          <cell r="L662" t="str">
            <v xml:space="preserve">US Fijas </v>
          </cell>
          <cell r="M662" t="str">
            <v>VENTAS</v>
          </cell>
          <cell r="N662" t="str">
            <v>ARS</v>
          </cell>
          <cell r="BC662">
            <v>0</v>
          </cell>
          <cell r="BD662">
            <v>0</v>
          </cell>
          <cell r="BE662">
            <v>0</v>
          </cell>
          <cell r="BF662">
            <v>167729803</v>
          </cell>
          <cell r="BG662">
            <v>140808833.96000004</v>
          </cell>
          <cell r="BH662">
            <v>50940717.299999982</v>
          </cell>
          <cell r="BI662">
            <v>44714170.799999997</v>
          </cell>
          <cell r="BJ662">
            <v>49375405.969999999</v>
          </cell>
          <cell r="BK662">
            <v>45237673.25</v>
          </cell>
          <cell r="BL662">
            <v>25868773.32</v>
          </cell>
          <cell r="BM662">
            <v>17480252.280000001</v>
          </cell>
          <cell r="BN662">
            <v>-854838.70000000019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CL662" t="str">
            <v xml:space="preserve">BAU </v>
          </cell>
        </row>
        <row r="671">
          <cell r="H671" t="str">
            <v>PETROLEO</v>
          </cell>
          <cell r="I671" t="str">
            <v>YPF</v>
          </cell>
          <cell r="K671" t="str">
            <v>EVENTUAL</v>
          </cell>
          <cell r="L671" t="str">
            <v>YPF VMOS - Eventual día</v>
          </cell>
          <cell r="M671" t="str">
            <v>VENTAS</v>
          </cell>
          <cell r="N671" t="str">
            <v>ARS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CL671" t="str">
            <v>NN</v>
          </cell>
        </row>
        <row r="680">
          <cell r="H680" t="str">
            <v>PETROLEO</v>
          </cell>
          <cell r="I680" t="str">
            <v>YPF</v>
          </cell>
          <cell r="K680" t="str">
            <v>EVENTUAL</v>
          </cell>
          <cell r="L680" t="str">
            <v>YPF VMOS - Eventual noche</v>
          </cell>
          <cell r="M680" t="str">
            <v>VENTAS</v>
          </cell>
          <cell r="N680" t="str">
            <v>ARS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CL680" t="str">
            <v>NN</v>
          </cell>
        </row>
        <row r="689">
          <cell r="H689" t="str">
            <v>OTRAS OP DEDICADAS</v>
          </cell>
          <cell r="I689" t="str">
            <v>TECMACO</v>
          </cell>
          <cell r="K689" t="str">
            <v>EVENTUAL</v>
          </cell>
          <cell r="L689" t="str">
            <v>TECMACO</v>
          </cell>
          <cell r="M689" t="str">
            <v>VENTAS</v>
          </cell>
          <cell r="N689" t="str">
            <v>ARS</v>
          </cell>
          <cell r="BD689">
            <v>2697278.46</v>
          </cell>
          <cell r="BE689">
            <v>13024825.789999999</v>
          </cell>
          <cell r="BF689">
            <v>11625702.171</v>
          </cell>
          <cell r="BG689">
            <v>2235711.959999999</v>
          </cell>
          <cell r="BH689">
            <v>-2235711.9590000007</v>
          </cell>
          <cell r="BI689">
            <v>16230688.01</v>
          </cell>
          <cell r="BJ689">
            <v>1.0000001639127731E-3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CL689" t="str">
            <v>NN</v>
          </cell>
        </row>
        <row r="698">
          <cell r="H698" t="str">
            <v>PETROLEO</v>
          </cell>
          <cell r="I698" t="str">
            <v>Vista OIL</v>
          </cell>
          <cell r="K698" t="str">
            <v>EVENTUAL</v>
          </cell>
          <cell r="L698" t="str">
            <v xml:space="preserve">EVENTUALES - Enfermero doble </v>
          </cell>
          <cell r="M698" t="str">
            <v>VENTAS</v>
          </cell>
          <cell r="N698" t="str">
            <v>ARS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CL698" t="str">
            <v xml:space="preserve">BAU </v>
          </cell>
        </row>
        <row r="707">
          <cell r="H707" t="str">
            <v>OTRAS OP DEDICADAS</v>
          </cell>
          <cell r="I707" t="str">
            <v>GENNEIA</v>
          </cell>
          <cell r="K707" t="str">
            <v>FIJO</v>
          </cell>
          <cell r="L707" t="str">
            <v>Parque Solar Ullúm</v>
          </cell>
          <cell r="M707" t="str">
            <v>VENTAS</v>
          </cell>
          <cell r="N707" t="str">
            <v>ARS</v>
          </cell>
          <cell r="BC707">
            <v>0</v>
          </cell>
          <cell r="BD707">
            <v>3506280.53</v>
          </cell>
          <cell r="BE707">
            <v>23615532.469999999</v>
          </cell>
          <cell r="BF707">
            <v>14177976</v>
          </cell>
          <cell r="BG707">
            <v>16657952</v>
          </cell>
          <cell r="BH707">
            <v>15179625.42</v>
          </cell>
          <cell r="BI707">
            <v>-11352034.93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CL707" t="str">
            <v xml:space="preserve">BAU </v>
          </cell>
        </row>
        <row r="713">
          <cell r="H713" t="str">
            <v>PETROLEO</v>
          </cell>
          <cell r="I713" t="str">
            <v>Techint</v>
          </cell>
          <cell r="K713" t="str">
            <v>FIJO</v>
          </cell>
          <cell r="L713" t="str">
            <v xml:space="preserve">Gasoducto Duplicar Norte </v>
          </cell>
          <cell r="M713" t="str">
            <v>VENTAS</v>
          </cell>
          <cell r="N713" t="str">
            <v>ARS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41863460</v>
          </cell>
          <cell r="BR713">
            <v>62795190</v>
          </cell>
          <cell r="BS713">
            <v>64305681.936289184</v>
          </cell>
          <cell r="BT713">
            <v>65899230.986835554</v>
          </cell>
          <cell r="BU713">
            <v>67387258.834808052</v>
          </cell>
          <cell r="BV713">
            <v>68756724.071637303</v>
          </cell>
          <cell r="BW713">
            <v>70014290.420799404</v>
          </cell>
          <cell r="BX713">
            <v>71201725.595231637</v>
          </cell>
          <cell r="CL713" t="str">
            <v>BAU bis</v>
          </cell>
        </row>
        <row r="722">
          <cell r="H722" t="str">
            <v>OTRAS OP DEDICADAS</v>
          </cell>
          <cell r="I722" t="str">
            <v>GENNEIA</v>
          </cell>
          <cell r="K722" t="str">
            <v>FIJO</v>
          </cell>
          <cell r="L722" t="str">
            <v>Parque Solar Junin</v>
          </cell>
          <cell r="M722" t="str">
            <v>VENTAS</v>
          </cell>
          <cell r="N722" t="str">
            <v>ARS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18146909.5</v>
          </cell>
          <cell r="BL722">
            <v>26617321.690000001</v>
          </cell>
          <cell r="BM722">
            <v>25825848.524999999</v>
          </cell>
          <cell r="BN722">
            <v>24566916.599999998</v>
          </cell>
          <cell r="BO722">
            <v>25144920.18</v>
          </cell>
          <cell r="BP722">
            <v>23757870.060000002</v>
          </cell>
          <cell r="BQ722">
            <v>27097559.675445665</v>
          </cell>
          <cell r="BR722">
            <v>27395632.831875563</v>
          </cell>
          <cell r="BS722">
            <v>27696984.793026194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CL722" t="str">
            <v xml:space="preserve">BAU </v>
          </cell>
        </row>
        <row r="728">
          <cell r="H728" t="str">
            <v>OTRAS OP DEDICADAS</v>
          </cell>
          <cell r="I728" t="str">
            <v>GENNEIA</v>
          </cell>
          <cell r="K728" t="str">
            <v>FIJO</v>
          </cell>
          <cell r="L728" t="str">
            <v>Parque Solar Lincoln</v>
          </cell>
          <cell r="M728" t="str">
            <v>VENTAS</v>
          </cell>
          <cell r="N728" t="str">
            <v>ARS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6856118.9000000004</v>
          </cell>
          <cell r="BK728">
            <v>16604896.065000001</v>
          </cell>
          <cell r="BL728">
            <v>16382172.609999999</v>
          </cell>
          <cell r="BM728">
            <v>16113081.9</v>
          </cell>
          <cell r="BN728">
            <v>15685798.5</v>
          </cell>
          <cell r="BO728">
            <v>15915029.91</v>
          </cell>
          <cell r="BP728">
            <v>16209583.119999999</v>
          </cell>
          <cell r="BQ728">
            <v>17540915.278922919</v>
          </cell>
          <cell r="BR728">
            <v>17733865.34699107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CL728" t="str">
            <v xml:space="preserve">BAU </v>
          </cell>
        </row>
        <row r="734">
          <cell r="H734" t="str">
            <v>OTRAS OP DEDICADAS</v>
          </cell>
          <cell r="I734" t="str">
            <v>Fortescue</v>
          </cell>
          <cell r="K734" t="str">
            <v>FIJO</v>
          </cell>
          <cell r="L734" t="str">
            <v>Proyecto Nacimiento/Vanesa</v>
          </cell>
          <cell r="M734" t="str">
            <v>VENTAS</v>
          </cell>
          <cell r="N734" t="str">
            <v>ARS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32833584.77915442</v>
          </cell>
          <cell r="BW734">
            <v>33431080.870835707</v>
          </cell>
          <cell r="BX734">
            <v>34003627.27164948</v>
          </cell>
          <cell r="CL734" t="str">
            <v>NN</v>
          </cell>
        </row>
        <row r="743">
          <cell r="H743" t="str">
            <v>MINERIA</v>
          </cell>
          <cell r="I743" t="str">
            <v>First Quantum</v>
          </cell>
          <cell r="K743" t="str">
            <v>FIJO</v>
          </cell>
          <cell r="L743" t="str">
            <v>Vendaval</v>
          </cell>
          <cell r="M743" t="str">
            <v>VENTAS</v>
          </cell>
          <cell r="N743" t="str">
            <v>ARS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9814650</v>
          </cell>
          <cell r="BM743">
            <v>18731010</v>
          </cell>
          <cell r="BN743">
            <v>0</v>
          </cell>
          <cell r="BO743">
            <v>3100764</v>
          </cell>
          <cell r="BP743">
            <v>-11090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CL743" t="str">
            <v>NN</v>
          </cell>
        </row>
        <row r="749">
          <cell r="H749" t="str">
            <v>OTRAS OP DEDICADAS</v>
          </cell>
          <cell r="I749" t="str">
            <v>Contreras</v>
          </cell>
          <cell r="K749" t="str">
            <v>FIJO</v>
          </cell>
          <cell r="L749" t="str">
            <v>Proyecto Las grutas</v>
          </cell>
          <cell r="M749" t="str">
            <v>VENTAS</v>
          </cell>
          <cell r="N749" t="str">
            <v>ARS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CL749" t="str">
            <v>NN</v>
          </cell>
        </row>
        <row r="755">
          <cell r="H755" t="str">
            <v>OTRAS OP DEDICADAS</v>
          </cell>
          <cell r="I755" t="str">
            <v>IAN Servicios</v>
          </cell>
          <cell r="K755" t="str">
            <v>FIJO</v>
          </cell>
          <cell r="L755" t="str">
            <v>IAN Servicios</v>
          </cell>
          <cell r="M755" t="str">
            <v>VENTAS</v>
          </cell>
          <cell r="N755" t="str">
            <v>ARS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2721323.49</v>
          </cell>
          <cell r="BN755">
            <v>6761046.5719999988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CL755" t="str">
            <v>NN</v>
          </cell>
        </row>
        <row r="761">
          <cell r="H761" t="str">
            <v>MINERIA</v>
          </cell>
          <cell r="I761" t="str">
            <v>Rio Tinto</v>
          </cell>
          <cell r="K761" t="str">
            <v>FIJO</v>
          </cell>
          <cell r="L761" t="str">
            <v>Salar de Rincon &amp; Sal de vida</v>
          </cell>
          <cell r="M761" t="str">
            <v>VENTAS</v>
          </cell>
          <cell r="N761" t="str">
            <v>ARS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3955233.7499999991</v>
          </cell>
          <cell r="BS761">
            <v>8099916.7077586623</v>
          </cell>
          <cell r="BT761">
            <v>8302414.6254526284</v>
          </cell>
          <cell r="BU761">
            <v>8491779.7231074478</v>
          </cell>
          <cell r="BV761">
            <v>17666095.520639375</v>
          </cell>
          <cell r="BW761">
            <v>17989979.594089329</v>
          </cell>
          <cell r="BX761">
            <v>18293676.367524594</v>
          </cell>
          <cell r="CL761" t="str">
            <v>NN</v>
          </cell>
        </row>
        <row r="770">
          <cell r="H770" t="str">
            <v>OTRAS OP DEDICADAS</v>
          </cell>
          <cell r="I770" t="str">
            <v>ENEL</v>
          </cell>
          <cell r="K770" t="str">
            <v>FIJO</v>
          </cell>
          <cell r="L770" t="str">
            <v>Enel</v>
          </cell>
          <cell r="M770" t="str">
            <v>VENTAS</v>
          </cell>
          <cell r="N770" t="str">
            <v>ARS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28507798.969000001</v>
          </cell>
          <cell r="BN770">
            <v>10264879.300000001</v>
          </cell>
          <cell r="BO770">
            <v>17078025.690000001</v>
          </cell>
          <cell r="BP770">
            <v>17078025.690000001</v>
          </cell>
          <cell r="BQ770">
            <v>6742901.4098622082</v>
          </cell>
          <cell r="BR770">
            <v>6921874.0408646986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CL770" t="str">
            <v xml:space="preserve">BAU </v>
          </cell>
        </row>
        <row r="779">
          <cell r="H779" t="str">
            <v>OTRAS OP DEDICADAS</v>
          </cell>
          <cell r="I779" t="str">
            <v>MILICIC</v>
          </cell>
          <cell r="K779" t="str">
            <v>FIJO</v>
          </cell>
          <cell r="L779" t="str">
            <v>Obras Infraestructura en NOA &amp; Rio negro/NQN</v>
          </cell>
          <cell r="M779" t="str">
            <v>VENTAS</v>
          </cell>
          <cell r="N779" t="str">
            <v>ARS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13084347.93583509</v>
          </cell>
          <cell r="BT779">
            <v>13382781.456250116</v>
          </cell>
          <cell r="BU779">
            <v>13657497.746451773</v>
          </cell>
          <cell r="BV779">
            <v>13909817.745395742</v>
          </cell>
          <cell r="BW779">
            <v>14141101.157451717</v>
          </cell>
          <cell r="BX779">
            <v>0</v>
          </cell>
          <cell r="CL779" t="str">
            <v>NN</v>
          </cell>
        </row>
        <row r="788">
          <cell r="H788" t="str">
            <v>MINERIA</v>
          </cell>
          <cell r="I788" t="str">
            <v>Casposo</v>
          </cell>
          <cell r="K788" t="str">
            <v>FIJO</v>
          </cell>
          <cell r="L788" t="str">
            <v>Casposo</v>
          </cell>
          <cell r="M788" t="str">
            <v>VENTAS</v>
          </cell>
          <cell r="N788" t="str">
            <v>ARS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32833584.77915442</v>
          </cell>
          <cell r="BW788">
            <v>33431080.870835707</v>
          </cell>
          <cell r="BX788">
            <v>34003627.27164948</v>
          </cell>
          <cell r="CL788" t="str">
            <v>NN</v>
          </cell>
        </row>
        <row r="797">
          <cell r="H797" t="str">
            <v>MINERIA</v>
          </cell>
          <cell r="I797" t="str">
            <v>McEwen</v>
          </cell>
          <cell r="K797" t="str">
            <v>FIJO</v>
          </cell>
          <cell r="L797" t="str">
            <v>Los Azules</v>
          </cell>
          <cell r="M797" t="str">
            <v>VENTAS</v>
          </cell>
          <cell r="N797" t="str">
            <v>ARS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12378022.201933023</v>
          </cell>
          <cell r="BV797">
            <v>12628301.838136323</v>
          </cell>
          <cell r="BW797">
            <v>12858108.02724451</v>
          </cell>
          <cell r="BX797">
            <v>13078318.181403656</v>
          </cell>
          <cell r="CL797" t="str">
            <v>NN</v>
          </cell>
        </row>
        <row r="806">
          <cell r="H806" t="str">
            <v>MINERIA</v>
          </cell>
          <cell r="I806" t="str">
            <v>Minera San Jorge SA</v>
          </cell>
          <cell r="K806" t="str">
            <v>FIJO</v>
          </cell>
          <cell r="L806" t="str">
            <v>Proyecto San Jorge</v>
          </cell>
          <cell r="M806" t="str">
            <v>VENTAS</v>
          </cell>
          <cell r="N806" t="str">
            <v>ARS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12378022.201933023</v>
          </cell>
          <cell r="BV806">
            <v>12628301.838136323</v>
          </cell>
          <cell r="BW806">
            <v>12858108.02724451</v>
          </cell>
          <cell r="BX806">
            <v>13078318.181403656</v>
          </cell>
          <cell r="CL806" t="str">
            <v>NN</v>
          </cell>
        </row>
        <row r="815">
          <cell r="H815" t="str">
            <v>OTRAS OP DEDICADAS</v>
          </cell>
          <cell r="I815" t="str">
            <v>Vestas</v>
          </cell>
          <cell r="K815" t="str">
            <v>Parque Eólico</v>
          </cell>
          <cell r="L815" t="str">
            <v xml:space="preserve">Vestas - Olavarría </v>
          </cell>
          <cell r="M815" t="str">
            <v>VENTAS</v>
          </cell>
          <cell r="N815" t="str">
            <v>ARS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9820033.008572489</v>
          </cell>
          <cell r="BR815">
            <v>19856106.743333571</v>
          </cell>
          <cell r="BS815">
            <v>31573471.537298456</v>
          </cell>
          <cell r="BT815">
            <v>43546215.767814621</v>
          </cell>
          <cell r="BU815">
            <v>44025224.141260572</v>
          </cell>
          <cell r="BV815">
            <v>44509501.606814437</v>
          </cell>
          <cell r="BW815">
            <v>44999106.124489389</v>
          </cell>
          <cell r="BX815">
            <v>12168746.574210484</v>
          </cell>
          <cell r="CL815" t="str">
            <v>BAU bis</v>
          </cell>
        </row>
        <row r="821">
          <cell r="H821" t="str">
            <v>OTRAS OP DEDICADAS</v>
          </cell>
          <cell r="I821" t="str">
            <v>Vestas</v>
          </cell>
          <cell r="K821" t="str">
            <v>Parque Eólico</v>
          </cell>
          <cell r="L821" t="str">
            <v>Vestas - Mataco III</v>
          </cell>
          <cell r="M821" t="str">
            <v>VENTAS</v>
          </cell>
          <cell r="N821" t="str">
            <v>ARS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19640066.017144978</v>
          </cell>
          <cell r="BR821">
            <v>42603793.31770248</v>
          </cell>
          <cell r="BS821">
            <v>11656175.177909173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CL821" t="str">
            <v>BAU bis</v>
          </cell>
        </row>
        <row r="827">
          <cell r="H827" t="str">
            <v>PETROLEO</v>
          </cell>
          <cell r="I827" t="str">
            <v>Techint</v>
          </cell>
          <cell r="K827" t="str">
            <v>FIJO</v>
          </cell>
          <cell r="L827" t="str">
            <v xml:space="preserve">Gasoducto Southern Energy GNL </v>
          </cell>
          <cell r="M827" t="str">
            <v>VENTAS</v>
          </cell>
          <cell r="N827" t="str">
            <v>ARS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35121334.791800186</v>
          </cell>
          <cell r="BU827">
            <v>35914386.902508482</v>
          </cell>
          <cell r="BV827">
            <v>36644250.45854938</v>
          </cell>
          <cell r="BW827">
            <v>37314476.925693542</v>
          </cell>
          <cell r="BX827">
            <v>37947326.621817082</v>
          </cell>
          <cell r="CL827" t="str">
            <v>NN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31D33-3A02-4BD3-9DEA-C4CA16AA9200}" name="Tabla1" displayName="Tabla1" ref="A1:H105" totalsRowShown="0" headerRowDxfId="0">
  <autoFilter ref="A1:H105" xr:uid="{AAB31D33-3A02-4BD3-9DEA-C4CA16AA9200}"/>
  <tableColumns count="8">
    <tableColumn id="1" xr3:uid="{4672C050-68F9-4BC7-B2C6-21E80632E64B}" name="SECTOR/SERVICIO CEBE/CECO"/>
    <tableColumn id="2" xr3:uid="{A20E0D55-C6CC-454B-93E0-D3348DA8B4E3}" name="CLIENTE"/>
    <tableColumn id="3" xr3:uid="{BE057BF1-C509-4C8B-A56B-358CF6979CAA}" name="PRODUCTO/PLAN"/>
    <tableColumn id="4" xr3:uid="{CBAE08A7-B560-4B5B-AD6D-7CA7570659AF}" name="CONCEPTO 1"/>
    <tableColumn id="5" xr3:uid="{6227463D-37E0-47E4-AD47-4E864E0BC004}" name="CONCEPTO 2"/>
    <tableColumn id="6" xr3:uid="{5ABD96FC-0FE4-447B-99B6-E3079A0D6F89}" name="DIMENSIÓN"/>
    <tableColumn id="7" xr3:uid="{8015924E-3EBE-4DE9-8AF4-380992B171BC}" name="UM"/>
    <tableColumn id="8" xr3:uid="{F28D2D57-2265-400E-AA6E-996ABC7ED199}" name="Tipo de Negoc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FBC4-1A9A-4622-9D37-1E4DEF51B6F9}">
  <dimension ref="A3:AV110"/>
  <sheetViews>
    <sheetView topLeftCell="A90" zoomScale="80" zoomScaleNormal="80" workbookViewId="0">
      <selection activeCell="A5" sqref="A5:H110"/>
    </sheetView>
  </sheetViews>
  <sheetFormatPr baseColWidth="10" defaultRowHeight="14.5" x14ac:dyDescent="0.35"/>
  <cols>
    <col min="1" max="2" width="20.453125" customWidth="1"/>
    <col min="4" max="4" width="18.81640625" customWidth="1"/>
    <col min="5" max="5" width="18.6328125" customWidth="1"/>
    <col min="9" max="9" width="14.90625" customWidth="1"/>
    <col min="10" max="10" width="16.90625" customWidth="1"/>
    <col min="11" max="33" width="14.90625" customWidth="1"/>
    <col min="34" max="34" width="17.453125" customWidth="1"/>
    <col min="35" max="45" width="12.90625" customWidth="1"/>
    <col min="46" max="46" width="15.08984375" bestFit="1" customWidth="1"/>
    <col min="47" max="47" width="15" bestFit="1" customWidth="1"/>
    <col min="48" max="48" width="14.81640625" bestFit="1" customWidth="1"/>
  </cols>
  <sheetData>
    <row r="3" spans="1:48" x14ac:dyDescent="0.35">
      <c r="J3" s="1">
        <f t="shared" ref="J3:AR3" si="0">SUM(J6:J59)</f>
        <v>2133693289.1770003</v>
      </c>
      <c r="K3" s="1">
        <f t="shared" si="0"/>
        <v>2327901714.7440004</v>
      </c>
      <c r="L3" s="1">
        <f t="shared" si="0"/>
        <v>2690664031.0189881</v>
      </c>
      <c r="M3" s="1">
        <f t="shared" si="0"/>
        <v>2966344675.7750001</v>
      </c>
      <c r="N3" s="1">
        <f t="shared" si="0"/>
        <v>3275636362.1800008</v>
      </c>
      <c r="O3" s="1">
        <f t="shared" si="0"/>
        <v>3441232078.9320006</v>
      </c>
      <c r="P3" s="1">
        <f t="shared" si="0"/>
        <v>4152386219.2850003</v>
      </c>
      <c r="Q3" s="1">
        <f t="shared" si="0"/>
        <v>4173798353.1929989</v>
      </c>
      <c r="R3" s="1">
        <f t="shared" si="0"/>
        <v>4159593041.0450006</v>
      </c>
      <c r="S3" s="1">
        <f t="shared" si="0"/>
        <v>4520500583.835</v>
      </c>
      <c r="T3" s="1">
        <f t="shared" si="0"/>
        <v>4398333908.0669994</v>
      </c>
      <c r="U3" s="1">
        <f t="shared" si="0"/>
        <v>4531252866.2550011</v>
      </c>
      <c r="V3" s="1">
        <f t="shared" si="0"/>
        <v>5068653154.4830008</v>
      </c>
      <c r="W3" s="1">
        <f t="shared" si="0"/>
        <v>4070713947.8209996</v>
      </c>
      <c r="X3" s="1">
        <f t="shared" si="0"/>
        <v>4701069180.3580008</v>
      </c>
      <c r="Y3" s="1">
        <f t="shared" si="0"/>
        <v>4250820163.8160009</v>
      </c>
      <c r="Z3" s="1">
        <f t="shared" si="0"/>
        <v>4068547398.2539988</v>
      </c>
      <c r="AA3" s="1">
        <f t="shared" si="0"/>
        <v>5403735640.8389988</v>
      </c>
      <c r="AB3" s="1">
        <f t="shared" si="0"/>
        <v>3977410856.9339995</v>
      </c>
      <c r="AC3" s="1">
        <f t="shared" si="0"/>
        <v>3878978321.4069986</v>
      </c>
      <c r="AD3" s="1">
        <f t="shared" si="0"/>
        <v>4203307620.618999</v>
      </c>
      <c r="AE3" s="1">
        <f t="shared" si="0"/>
        <v>4201432672.1200004</v>
      </c>
      <c r="AF3" s="1">
        <f t="shared" si="0"/>
        <v>3976348365.4809985</v>
      </c>
      <c r="AG3" s="1">
        <f t="shared" si="0"/>
        <v>4072486562.8419995</v>
      </c>
      <c r="AH3" s="1">
        <f t="shared" si="0"/>
        <v>4200801399.376996</v>
      </c>
      <c r="AI3" s="1">
        <f t="shared" si="0"/>
        <v>3827288650.1370001</v>
      </c>
      <c r="AJ3" s="1">
        <f t="shared" si="0"/>
        <v>4648242949.5799999</v>
      </c>
      <c r="AK3" s="1">
        <f t="shared" si="0"/>
        <v>4326270746.6479998</v>
      </c>
      <c r="AL3" s="1">
        <f t="shared" si="0"/>
        <v>3739205045.6529102</v>
      </c>
      <c r="AM3" s="1">
        <f t="shared" si="0"/>
        <v>3775812442.1549592</v>
      </c>
      <c r="AN3" s="1">
        <f t="shared" si="0"/>
        <v>3823008500.1090403</v>
      </c>
      <c r="AO3" s="1">
        <f t="shared" si="0"/>
        <v>3793557072.9204988</v>
      </c>
      <c r="AP3" s="1">
        <f t="shared" si="0"/>
        <v>3819823246.426559</v>
      </c>
      <c r="AQ3" s="1">
        <f t="shared" si="0"/>
        <v>3938999721.2110338</v>
      </c>
      <c r="AR3" s="1">
        <f t="shared" si="0"/>
        <v>3948374820.0767374</v>
      </c>
      <c r="AS3" s="1">
        <f t="shared" ref="AS3:AV3" si="1">SUM(AS6:AS59)</f>
        <v>3958470899.2058058</v>
      </c>
      <c r="AT3" s="1">
        <f t="shared" si="1"/>
        <v>42771337123.507004</v>
      </c>
      <c r="AU3" s="1">
        <f t="shared" si="1"/>
        <v>51873503884.973991</v>
      </c>
      <c r="AV3" s="1">
        <f t="shared" si="1"/>
        <v>47799855493.499542</v>
      </c>
    </row>
    <row r="4" spans="1:48" x14ac:dyDescent="0.35">
      <c r="J4" s="14">
        <v>2024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2">
        <v>2025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3">
        <v>2026</v>
      </c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</row>
    <row r="5" spans="1:48" x14ac:dyDescent="0.35">
      <c r="A5" s="7" t="str">
        <f>[1]BASE!H3</f>
        <v>SECTOR/SERVICIO CEBE/CECO</v>
      </c>
      <c r="B5" s="7" t="str">
        <f>[1]BASE!I3</f>
        <v>CLIENTE</v>
      </c>
      <c r="C5" s="7" t="str">
        <f>[1]BASE!J3</f>
        <v>PRODUCTO/PLAN</v>
      </c>
      <c r="D5" s="7" t="str">
        <f>[1]BASE!K3</f>
        <v>CONCEPTO 1</v>
      </c>
      <c r="E5" s="7" t="str">
        <f>[1]BASE!L3</f>
        <v>CONCEPTO 2</v>
      </c>
      <c r="F5" s="7" t="str">
        <f>[1]BASE!M3</f>
        <v>DIMENSIÓN</v>
      </c>
      <c r="G5" s="7" t="str">
        <f>[1]BASE!N3</f>
        <v>UM</v>
      </c>
      <c r="H5" s="2" t="s">
        <v>0</v>
      </c>
      <c r="I5" s="2" t="s">
        <v>1</v>
      </c>
      <c r="J5" s="10">
        <v>45292</v>
      </c>
      <c r="K5" s="10">
        <v>45323</v>
      </c>
      <c r="L5" s="10">
        <v>45352</v>
      </c>
      <c r="M5" s="10">
        <v>45383</v>
      </c>
      <c r="N5" s="10">
        <v>45413</v>
      </c>
      <c r="O5" s="10">
        <v>45444</v>
      </c>
      <c r="P5" s="10">
        <v>45474</v>
      </c>
      <c r="Q5" s="10">
        <v>45505</v>
      </c>
      <c r="R5" s="10">
        <v>45536</v>
      </c>
      <c r="S5" s="10">
        <v>45566</v>
      </c>
      <c r="T5" s="10">
        <v>45597</v>
      </c>
      <c r="U5" s="10">
        <v>45627</v>
      </c>
      <c r="V5" s="10">
        <v>45658</v>
      </c>
      <c r="W5" s="10">
        <v>45689</v>
      </c>
      <c r="X5" s="10">
        <v>45717</v>
      </c>
      <c r="Y5" s="10">
        <v>45748</v>
      </c>
      <c r="Z5" s="10">
        <v>45778</v>
      </c>
      <c r="AA5" s="10">
        <v>45809</v>
      </c>
      <c r="AB5" s="10">
        <v>45839</v>
      </c>
      <c r="AC5" s="10">
        <v>45870</v>
      </c>
      <c r="AD5" s="10">
        <v>45901</v>
      </c>
      <c r="AE5" s="10">
        <v>45931</v>
      </c>
      <c r="AF5" s="10">
        <v>45962</v>
      </c>
      <c r="AG5" s="10">
        <v>45992</v>
      </c>
      <c r="AH5" s="11">
        <v>46023</v>
      </c>
      <c r="AI5" s="11">
        <v>46054</v>
      </c>
      <c r="AJ5" s="11">
        <v>46082</v>
      </c>
      <c r="AK5" s="11">
        <v>46113</v>
      </c>
      <c r="AL5" s="11">
        <v>46143</v>
      </c>
      <c r="AM5" s="11">
        <v>46174</v>
      </c>
      <c r="AN5" s="11">
        <v>46204</v>
      </c>
      <c r="AO5" s="11">
        <v>46235</v>
      </c>
      <c r="AP5" s="11">
        <v>46266</v>
      </c>
      <c r="AQ5" s="11">
        <v>46296</v>
      </c>
      <c r="AR5" s="11">
        <v>46327</v>
      </c>
      <c r="AS5" s="11">
        <v>46357</v>
      </c>
      <c r="AT5" s="3" t="s">
        <v>2</v>
      </c>
      <c r="AU5" s="3" t="s">
        <v>3</v>
      </c>
      <c r="AV5" s="3" t="s">
        <v>4</v>
      </c>
    </row>
    <row r="6" spans="1:48" x14ac:dyDescent="0.35">
      <c r="A6" s="7" t="str">
        <f>[1]BASE!H4</f>
        <v>MINERIA</v>
      </c>
      <c r="B6" s="7" t="str">
        <f>[1]BASE!I4</f>
        <v>Lundin GOLD</v>
      </c>
      <c r="C6" s="7" t="str">
        <f>[1]BASE!J4</f>
        <v>N/A</v>
      </c>
      <c r="D6" s="7" t="str">
        <f>[1]BASE!K4</f>
        <v>Minería</v>
      </c>
      <c r="E6" s="7" t="str">
        <f>[1]BASE!L4</f>
        <v>FILO DEL SOL</v>
      </c>
      <c r="F6" s="7" t="str">
        <f>[1]BASE!M4</f>
        <v>VENTAS</v>
      </c>
      <c r="G6" s="7" t="str">
        <f>[1]BASE!N4</f>
        <v>ARS</v>
      </c>
      <c r="H6" s="7" t="str">
        <f>[1]BASE!CL4</f>
        <v xml:space="preserve">BAU </v>
      </c>
      <c r="I6" s="5">
        <v>1</v>
      </c>
      <c r="J6" s="8">
        <f>[1]BASE!AO4</f>
        <v>12058524.41</v>
      </c>
      <c r="K6" s="6">
        <f>[1]BASE!AP4</f>
        <v>12058524.41</v>
      </c>
      <c r="L6" s="6">
        <f>[1]BASE!AQ4</f>
        <v>21483011.710000001</v>
      </c>
      <c r="M6" s="6">
        <f>[1]BASE!AR4</f>
        <v>17746820.719999999</v>
      </c>
      <c r="N6" s="6">
        <f>[1]BASE!AS4</f>
        <v>19512058.600000001</v>
      </c>
      <c r="O6" s="6">
        <f>[1]BASE!AT4</f>
        <v>21041088.310000002</v>
      </c>
      <c r="P6" s="6">
        <f>[1]BASE!AU4</f>
        <v>22792136.68</v>
      </c>
      <c r="Q6" s="6">
        <f>[1]BASE!AV4</f>
        <v>23812991.780000001</v>
      </c>
      <c r="R6" s="6">
        <f>[1]BASE!AW4</f>
        <v>24728203.529999997</v>
      </c>
      <c r="S6" s="6">
        <f>[1]BASE!AX4</f>
        <v>26900409.909999996</v>
      </c>
      <c r="T6" s="6">
        <f>[1]BASE!AY4</f>
        <v>26640990.190000005</v>
      </c>
      <c r="U6" s="6">
        <f>[1]BASE!AZ4</f>
        <v>27520597.229999997</v>
      </c>
      <c r="V6" s="6">
        <f>[1]BASE!BA4</f>
        <v>27551157.960000001</v>
      </c>
      <c r="W6" s="6">
        <f>[1]BASE!BB4</f>
        <v>28783077.48</v>
      </c>
      <c r="X6" s="6">
        <f>[1]BASE!BC4</f>
        <v>34953858.329999998</v>
      </c>
      <c r="Y6" s="6">
        <f>[1]BASE!BD4</f>
        <v>0</v>
      </c>
      <c r="Z6" s="6">
        <f>[1]BASE!BE4</f>
        <v>0</v>
      </c>
      <c r="AA6" s="6">
        <f>[1]BASE!BF4</f>
        <v>0</v>
      </c>
      <c r="AB6" s="6">
        <f>[1]BASE!BG4</f>
        <v>0</v>
      </c>
      <c r="AC6" s="6">
        <f>[1]BASE!BH4</f>
        <v>0</v>
      </c>
      <c r="AD6" s="6">
        <f>[1]BASE!BI4</f>
        <v>0</v>
      </c>
      <c r="AE6" s="6">
        <f>[1]BASE!BJ4</f>
        <v>0</v>
      </c>
      <c r="AF6" s="6">
        <f>[1]BASE!BK4</f>
        <v>0</v>
      </c>
      <c r="AG6" s="6">
        <f>[1]BASE!BL4</f>
        <v>0</v>
      </c>
      <c r="AH6" s="6">
        <f>[1]BASE!BM4</f>
        <v>0</v>
      </c>
      <c r="AI6" s="6">
        <f>[1]BASE!BN4</f>
        <v>0</v>
      </c>
      <c r="AJ6" s="6">
        <f>[1]BASE!BO4</f>
        <v>0</v>
      </c>
      <c r="AK6" s="6">
        <f>[1]BASE!BP4</f>
        <v>0</v>
      </c>
      <c r="AL6" s="6">
        <f>[1]BASE!BQ4</f>
        <v>0</v>
      </c>
      <c r="AM6" s="6">
        <f>[1]BASE!BR4</f>
        <v>0</v>
      </c>
      <c r="AN6" s="6">
        <f>[1]BASE!BS4</f>
        <v>0</v>
      </c>
      <c r="AO6" s="6">
        <f>[1]BASE!BT4</f>
        <v>0</v>
      </c>
      <c r="AP6" s="6">
        <f>[1]BASE!BU4</f>
        <v>0</v>
      </c>
      <c r="AQ6" s="6">
        <f>[1]BASE!BV4</f>
        <v>0</v>
      </c>
      <c r="AR6" s="6">
        <f>[1]BASE!BW4</f>
        <v>0</v>
      </c>
      <c r="AS6" s="6">
        <f>[1]BASE!BX4</f>
        <v>0</v>
      </c>
      <c r="AT6" s="9">
        <f>SUM(J6:U6)</f>
        <v>256295357.47999999</v>
      </c>
      <c r="AU6" s="9">
        <f>SUM(V6:AG6)</f>
        <v>91288093.769999996</v>
      </c>
      <c r="AV6" s="9">
        <f>SUM(AH6:AS6)</f>
        <v>0</v>
      </c>
    </row>
    <row r="7" spans="1:48" x14ac:dyDescent="0.35">
      <c r="A7" s="4" t="str">
        <f>[1]BASE!H9</f>
        <v>MINERIA</v>
      </c>
      <c r="B7" s="4" t="str">
        <f>[1]BASE!I9</f>
        <v>Lundin GOLD</v>
      </c>
      <c r="C7" s="4" t="str">
        <f>[1]BASE!J9</f>
        <v>N/A</v>
      </c>
      <c r="D7" s="4" t="str">
        <f>[1]BASE!K9</f>
        <v>Minería</v>
      </c>
      <c r="E7" s="4" t="str">
        <f>[1]BASE!L9</f>
        <v>ESTANCIA GUAÑIZUIL</v>
      </c>
      <c r="F7" s="4" t="str">
        <f>[1]BASE!M9</f>
        <v>VENTAS</v>
      </c>
      <c r="G7" s="4" t="str">
        <f>[1]BASE!N9</f>
        <v>ARS</v>
      </c>
      <c r="H7" s="4" t="str">
        <f>[1]BASE!CL9</f>
        <v xml:space="preserve">BAU </v>
      </c>
      <c r="I7" s="5">
        <v>1</v>
      </c>
      <c r="J7" s="8">
        <f>[1]BASE!AO9</f>
        <v>0</v>
      </c>
      <c r="K7" s="6">
        <f>[1]BASE!AP9</f>
        <v>0</v>
      </c>
      <c r="L7" s="6">
        <f>[1]BASE!AQ9</f>
        <v>0</v>
      </c>
      <c r="M7" s="6">
        <f>[1]BASE!AR9</f>
        <v>0</v>
      </c>
      <c r="N7" s="6">
        <f>[1]BASE!AS9</f>
        <v>0</v>
      </c>
      <c r="O7" s="6">
        <f>[1]BASE!AT9</f>
        <v>0</v>
      </c>
      <c r="P7" s="6">
        <f>[1]BASE!AU9</f>
        <v>0</v>
      </c>
      <c r="Q7" s="6">
        <f>[1]BASE!AV9</f>
        <v>0</v>
      </c>
      <c r="R7" s="6">
        <f>[1]BASE!AW9</f>
        <v>0</v>
      </c>
      <c r="S7" s="6">
        <f>[1]BASE!AX9</f>
        <v>0</v>
      </c>
      <c r="T7" s="6">
        <f>[1]BASE!AY9</f>
        <v>0</v>
      </c>
      <c r="U7" s="6">
        <f>[1]BASE!AZ9</f>
        <v>0</v>
      </c>
      <c r="V7" s="6">
        <f>[1]BASE!BA9</f>
        <v>0</v>
      </c>
      <c r="W7" s="6">
        <f>[1]BASE!BB9</f>
        <v>0</v>
      </c>
      <c r="X7" s="6">
        <f>[1]BASE!BC9</f>
        <v>0</v>
      </c>
      <c r="Y7" s="6">
        <f>[1]BASE!BD9</f>
        <v>0</v>
      </c>
      <c r="Z7" s="6">
        <f>[1]BASE!BE9</f>
        <v>0</v>
      </c>
      <c r="AA7" s="6">
        <f>[1]BASE!BF9</f>
        <v>0</v>
      </c>
      <c r="AB7" s="6">
        <f>[1]BASE!BG9</f>
        <v>0</v>
      </c>
      <c r="AC7" s="6">
        <f>[1]BASE!BH9</f>
        <v>0</v>
      </c>
      <c r="AD7" s="6">
        <f>[1]BASE!BI9</f>
        <v>0</v>
      </c>
      <c r="AE7" s="6">
        <f>[1]BASE!BJ9</f>
        <v>0</v>
      </c>
      <c r="AF7" s="6">
        <f>[1]BASE!BK9</f>
        <v>0</v>
      </c>
      <c r="AG7" s="6">
        <f>[1]BASE!BL9</f>
        <v>0</v>
      </c>
      <c r="AH7" s="6">
        <f>[1]BASE!BM9</f>
        <v>0</v>
      </c>
      <c r="AI7" s="6">
        <f>[1]BASE!BN9</f>
        <v>0</v>
      </c>
      <c r="AJ7" s="6">
        <f>[1]BASE!BO9</f>
        <v>0</v>
      </c>
      <c r="AK7" s="6">
        <f>[1]BASE!BP9</f>
        <v>0</v>
      </c>
      <c r="AL7" s="6">
        <f>[1]BASE!BQ9</f>
        <v>0</v>
      </c>
      <c r="AM7" s="6">
        <f>[1]BASE!BR9</f>
        <v>0</v>
      </c>
      <c r="AN7" s="6">
        <f>[1]BASE!BS9</f>
        <v>0</v>
      </c>
      <c r="AO7" s="6">
        <f>[1]BASE!BT9</f>
        <v>0</v>
      </c>
      <c r="AP7" s="6">
        <f>[1]BASE!BU9</f>
        <v>0</v>
      </c>
      <c r="AQ7" s="6">
        <f>[1]BASE!BV9</f>
        <v>0</v>
      </c>
      <c r="AR7" s="6">
        <f>[1]BASE!BW9</f>
        <v>0</v>
      </c>
      <c r="AS7" s="6">
        <f>[1]BASE!BX9</f>
        <v>0</v>
      </c>
      <c r="AT7" s="9">
        <f t="shared" ref="AT7:AT70" si="2">SUM(J7:U7)</f>
        <v>0</v>
      </c>
      <c r="AU7" s="9">
        <f t="shared" ref="AU7:AU70" si="3">SUM(V7:AG7)</f>
        <v>0</v>
      </c>
      <c r="AV7" s="9">
        <f t="shared" ref="AV7:AV70" si="4">SUM(AH7:AS7)</f>
        <v>0</v>
      </c>
    </row>
    <row r="8" spans="1:48" x14ac:dyDescent="0.35">
      <c r="A8" s="4" t="str">
        <f>[1]BASE!H14</f>
        <v>MINERIA</v>
      </c>
      <c r="B8" s="4" t="str">
        <f>[1]BASE!I14</f>
        <v>Lundin GOLD</v>
      </c>
      <c r="C8" s="4" t="str">
        <f>[1]BASE!J14</f>
        <v>N/A</v>
      </c>
      <c r="D8" s="4" t="str">
        <f>[1]BASE!K14</f>
        <v>Minería</v>
      </c>
      <c r="E8" s="4" t="str">
        <f>[1]BASE!L14</f>
        <v>JOSE MARÍA</v>
      </c>
      <c r="F8" s="4" t="str">
        <f>[1]BASE!M14</f>
        <v>VENTAS</v>
      </c>
      <c r="G8" s="4" t="str">
        <f>[1]BASE!N14</f>
        <v>ARS</v>
      </c>
      <c r="H8" s="4" t="str">
        <f>[1]BASE!CL14</f>
        <v xml:space="preserve">BAU </v>
      </c>
      <c r="I8" s="5">
        <v>1</v>
      </c>
      <c r="J8" s="8">
        <f>[1]BASE!AO14</f>
        <v>155647074.07999998</v>
      </c>
      <c r="K8" s="6">
        <f>[1]BASE!AP14</f>
        <v>153080063.38000003</v>
      </c>
      <c r="L8" s="6">
        <f>[1]BASE!AQ14</f>
        <v>294416201.12999994</v>
      </c>
      <c r="M8" s="6">
        <f>[1]BASE!AR14</f>
        <v>244254112.45000011</v>
      </c>
      <c r="N8" s="6">
        <f>[1]BASE!AS14</f>
        <v>253730190.18000004</v>
      </c>
      <c r="O8" s="6">
        <f>[1]BASE!AT14</f>
        <v>315548502.76999998</v>
      </c>
      <c r="P8" s="6">
        <f>[1]BASE!AU14</f>
        <v>407318097.36999995</v>
      </c>
      <c r="Q8" s="6">
        <f>[1]BASE!AV14</f>
        <v>320586273.68999994</v>
      </c>
      <c r="R8" s="6">
        <f>[1]BASE!AW14</f>
        <v>326388216.14999986</v>
      </c>
      <c r="S8" s="6">
        <f>[1]BASE!AX14</f>
        <v>354186793.75999987</v>
      </c>
      <c r="T8" s="6">
        <f>[1]BASE!AY14</f>
        <v>382261353.80999994</v>
      </c>
      <c r="U8" s="6">
        <f>[1]BASE!AZ14</f>
        <v>405531913.7100001</v>
      </c>
      <c r="V8" s="6">
        <f>[1]BASE!BA14</f>
        <v>458856671.93000001</v>
      </c>
      <c r="W8" s="6">
        <f>[1]BASE!BB14</f>
        <v>451118983.16000009</v>
      </c>
      <c r="X8" s="6">
        <f>[1]BASE!BC14</f>
        <v>468212157.30999988</v>
      </c>
      <c r="Y8" s="6">
        <f>[1]BASE!BD14</f>
        <v>297849625.94999999</v>
      </c>
      <c r="Z8" s="6">
        <f>[1]BASE!BE14</f>
        <v>326203731.17200005</v>
      </c>
      <c r="AA8" s="6">
        <f>[1]BASE!BF14</f>
        <v>316784075.85100001</v>
      </c>
      <c r="AB8" s="6">
        <f>[1]BASE!BG14</f>
        <v>449568751.25099999</v>
      </c>
      <c r="AC8" s="6">
        <f>[1]BASE!BH14</f>
        <v>454924107.83099997</v>
      </c>
      <c r="AD8" s="6">
        <f>[1]BASE!BI14</f>
        <v>569187008.9009999</v>
      </c>
      <c r="AE8" s="6">
        <f>[1]BASE!BJ14</f>
        <v>499363063.24700004</v>
      </c>
      <c r="AF8" s="6">
        <f>[1]BASE!BK14</f>
        <v>507843255.64000005</v>
      </c>
      <c r="AG8" s="6">
        <f>[1]BASE!BL14</f>
        <v>558198352.93999982</v>
      </c>
      <c r="AH8" s="6">
        <f>[1]BASE!BM14</f>
        <v>526355501.87199998</v>
      </c>
      <c r="AI8" s="6">
        <f>[1]BASE!BN14</f>
        <v>557768123.39999998</v>
      </c>
      <c r="AJ8" s="6">
        <f>[1]BASE!BO14</f>
        <v>576103404.88699985</v>
      </c>
      <c r="AK8" s="6">
        <f>[1]BASE!BP14</f>
        <v>675539146.88500023</v>
      </c>
      <c r="AL8" s="6">
        <f>[1]BASE!BQ14</f>
        <v>0</v>
      </c>
      <c r="AM8" s="6">
        <f>[1]BASE!BR14</f>
        <v>0</v>
      </c>
      <c r="AN8" s="6">
        <f>[1]BASE!BS14</f>
        <v>0</v>
      </c>
      <c r="AO8" s="6">
        <f>[1]BASE!BT14</f>
        <v>0</v>
      </c>
      <c r="AP8" s="6">
        <f>[1]BASE!BU14</f>
        <v>0</v>
      </c>
      <c r="AQ8" s="6">
        <f>[1]BASE!BV14</f>
        <v>0</v>
      </c>
      <c r="AR8" s="6">
        <f>[1]BASE!BW14</f>
        <v>0</v>
      </c>
      <c r="AS8" s="6">
        <f>[1]BASE!BX14</f>
        <v>0</v>
      </c>
      <c r="AT8" s="9">
        <f t="shared" si="2"/>
        <v>3612948792.4799995</v>
      </c>
      <c r="AU8" s="9">
        <f t="shared" si="3"/>
        <v>5358109785.1829996</v>
      </c>
      <c r="AV8" s="9">
        <f t="shared" si="4"/>
        <v>2335766177.0439997</v>
      </c>
    </row>
    <row r="9" spans="1:48" x14ac:dyDescent="0.35">
      <c r="A9" s="4" t="str">
        <f>[1]BASE!H24</f>
        <v>OTRAS OP DEDICADAS</v>
      </c>
      <c r="B9" s="4" t="str">
        <f>[1]BASE!I24</f>
        <v>Vestas</v>
      </c>
      <c r="C9" s="4">
        <f>[1]BASE!J24</f>
        <v>0</v>
      </c>
      <c r="D9" s="4" t="str">
        <f>[1]BASE!K24</f>
        <v>Parque Eólico</v>
      </c>
      <c r="E9" s="4" t="str">
        <f>[1]BASE!L24</f>
        <v xml:space="preserve">Vestas - El Llano </v>
      </c>
      <c r="F9" s="4" t="str">
        <f>[1]BASE!M24</f>
        <v>VENTAS</v>
      </c>
      <c r="G9" s="4" t="str">
        <f>[1]BASE!N24</f>
        <v>ARS</v>
      </c>
      <c r="H9" s="4" t="str">
        <f>[1]BASE!CL24</f>
        <v xml:space="preserve">BAU </v>
      </c>
      <c r="I9" s="5">
        <v>1</v>
      </c>
      <c r="J9" s="8">
        <f>[1]BASE!AO24</f>
        <v>16221074.745999999</v>
      </c>
      <c r="K9" s="6">
        <f>[1]BASE!AP24</f>
        <v>7573670.0939999986</v>
      </c>
      <c r="L9" s="6">
        <f>[1]BASE!AQ24</f>
        <v>-935561.6099999994</v>
      </c>
      <c r="M9" s="6">
        <f>[1]BASE!AR24</f>
        <v>0</v>
      </c>
      <c r="N9" s="6">
        <f>[1]BASE!AS24</f>
        <v>-4138039.0290000001</v>
      </c>
      <c r="O9" s="6">
        <f>[1]BASE!AT24</f>
        <v>0</v>
      </c>
      <c r="P9" s="6">
        <f>[1]BASE!AU24</f>
        <v>0</v>
      </c>
      <c r="Q9" s="6">
        <f>[1]BASE!AV24</f>
        <v>1549509.102</v>
      </c>
      <c r="R9" s="6">
        <f>[1]BASE!AW24</f>
        <v>0</v>
      </c>
      <c r="S9" s="6">
        <f>[1]BASE!AX24</f>
        <v>4940826.4470000006</v>
      </c>
      <c r="T9" s="6">
        <f>[1]BASE!AY24</f>
        <v>0</v>
      </c>
      <c r="U9" s="6">
        <f>[1]BASE!AZ24</f>
        <v>0</v>
      </c>
      <c r="V9" s="6">
        <f>[1]BASE!BA24</f>
        <v>0</v>
      </c>
      <c r="W9" s="6">
        <f>[1]BASE!BB24</f>
        <v>0</v>
      </c>
      <c r="X9" s="6">
        <f>[1]BASE!BC24</f>
        <v>0</v>
      </c>
      <c r="Y9" s="6">
        <f>[1]BASE!BD24</f>
        <v>0</v>
      </c>
      <c r="Z9" s="6">
        <f>[1]BASE!BE24</f>
        <v>0</v>
      </c>
      <c r="AA9" s="6">
        <f>[1]BASE!BF24</f>
        <v>0</v>
      </c>
      <c r="AB9" s="6">
        <f>[1]BASE!BG24</f>
        <v>0</v>
      </c>
      <c r="AC9" s="6">
        <f>[1]BASE!BH24</f>
        <v>0</v>
      </c>
      <c r="AD9" s="6">
        <f>[1]BASE!BI24</f>
        <v>0</v>
      </c>
      <c r="AE9" s="6">
        <f>[1]BASE!BJ24</f>
        <v>0</v>
      </c>
      <c r="AF9" s="6">
        <f>[1]BASE!BK24</f>
        <v>0</v>
      </c>
      <c r="AG9" s="6">
        <f>[1]BASE!BL24</f>
        <v>0</v>
      </c>
      <c r="AH9" s="6">
        <f>[1]BASE!BM24</f>
        <v>0</v>
      </c>
      <c r="AI9" s="6">
        <f>[1]BASE!BN24</f>
        <v>0</v>
      </c>
      <c r="AJ9" s="6">
        <f>[1]BASE!BO24</f>
        <v>0</v>
      </c>
      <c r="AK9" s="6">
        <f>[1]BASE!BP24</f>
        <v>0</v>
      </c>
      <c r="AL9" s="6">
        <f>[1]BASE!BQ24</f>
        <v>0</v>
      </c>
      <c r="AM9" s="6">
        <f>[1]BASE!BR24</f>
        <v>0</v>
      </c>
      <c r="AN9" s="6">
        <f>[1]BASE!BS24</f>
        <v>0</v>
      </c>
      <c r="AO9" s="6">
        <f>[1]BASE!BT24</f>
        <v>0</v>
      </c>
      <c r="AP9" s="6">
        <f>[1]BASE!BU24</f>
        <v>0</v>
      </c>
      <c r="AQ9" s="6">
        <f>[1]BASE!BV24</f>
        <v>0</v>
      </c>
      <c r="AR9" s="6">
        <f>[1]BASE!BW24</f>
        <v>0</v>
      </c>
      <c r="AS9" s="6">
        <f>[1]BASE!BX24</f>
        <v>0</v>
      </c>
      <c r="AT9" s="9">
        <f t="shared" si="2"/>
        <v>25211479.749999996</v>
      </c>
      <c r="AU9" s="9">
        <f t="shared" si="3"/>
        <v>0</v>
      </c>
      <c r="AV9" s="9">
        <f t="shared" si="4"/>
        <v>0</v>
      </c>
    </row>
    <row r="10" spans="1:48" x14ac:dyDescent="0.35">
      <c r="A10" s="4" t="str">
        <f>[1]BASE!H30</f>
        <v>OTRAS OP DEDICADAS</v>
      </c>
      <c r="B10" s="4" t="str">
        <f>[1]BASE!I30</f>
        <v>Vestas</v>
      </c>
      <c r="C10" s="4">
        <f>[1]BASE!J30</f>
        <v>0</v>
      </c>
      <c r="D10" s="4" t="str">
        <f>[1]BASE!K30</f>
        <v>Parque Eólico</v>
      </c>
      <c r="E10" s="4" t="str">
        <f>[1]BASE!L30</f>
        <v>Vestas - La Elbita</v>
      </c>
      <c r="F10" s="4" t="str">
        <f>[1]BASE!M30</f>
        <v>VENTAS</v>
      </c>
      <c r="G10" s="4" t="str">
        <f>[1]BASE!N30</f>
        <v>ARS</v>
      </c>
      <c r="H10" s="4" t="str">
        <f>[1]BASE!CL30</f>
        <v xml:space="preserve">BAU </v>
      </c>
      <c r="I10" s="5">
        <v>1</v>
      </c>
      <c r="J10" s="8">
        <f>[1]BASE!AO30</f>
        <v>12576462.645</v>
      </c>
      <c r="K10" s="6">
        <f>[1]BASE!AP30</f>
        <v>25061679.254999999</v>
      </c>
      <c r="L10" s="6">
        <f>[1]BASE!AQ30</f>
        <v>17974612.516000003</v>
      </c>
      <c r="M10" s="6">
        <f>[1]BASE!AR30</f>
        <v>35529058.510999992</v>
      </c>
      <c r="N10" s="6">
        <f>[1]BASE!AS30</f>
        <v>16836992.859999999</v>
      </c>
      <c r="O10" s="6">
        <f>[1]BASE!AT30</f>
        <v>29713681.937000003</v>
      </c>
      <c r="P10" s="6">
        <f>[1]BASE!AU30</f>
        <v>27885843.119999997</v>
      </c>
      <c r="Q10" s="6">
        <f>[1]BASE!AV30</f>
        <v>28076773.704000004</v>
      </c>
      <c r="R10" s="6">
        <f>[1]BASE!AW30</f>
        <v>20502753.809999999</v>
      </c>
      <c r="S10" s="6">
        <f>[1]BASE!AX30</f>
        <v>8950486.0500000007</v>
      </c>
      <c r="T10" s="6">
        <f>[1]BASE!AY30</f>
        <v>-549099.16899999976</v>
      </c>
      <c r="U10" s="6">
        <f>[1]BASE!AZ30</f>
        <v>0</v>
      </c>
      <c r="V10" s="6">
        <f>[1]BASE!BA30</f>
        <v>798395.96</v>
      </c>
      <c r="W10" s="6">
        <f>[1]BASE!BB30</f>
        <v>0</v>
      </c>
      <c r="X10" s="6">
        <f>[1]BASE!BC30</f>
        <v>-3680893.5109999999</v>
      </c>
      <c r="Y10" s="6">
        <f>[1]BASE!BD30</f>
        <v>0</v>
      </c>
      <c r="Z10" s="6">
        <f>[1]BASE!BE30</f>
        <v>0</v>
      </c>
      <c r="AA10" s="6">
        <f>[1]BASE!BF30</f>
        <v>0</v>
      </c>
      <c r="AB10" s="6">
        <f>[1]BASE!BG30</f>
        <v>0</v>
      </c>
      <c r="AC10" s="6">
        <f>[1]BASE!BH30</f>
        <v>0</v>
      </c>
      <c r="AD10" s="6">
        <f>[1]BASE!BI30</f>
        <v>0</v>
      </c>
      <c r="AE10" s="6">
        <f>[1]BASE!BJ30</f>
        <v>0</v>
      </c>
      <c r="AF10" s="6">
        <f>[1]BASE!BK30</f>
        <v>0</v>
      </c>
      <c r="AG10" s="6">
        <f>[1]BASE!BL30</f>
        <v>0</v>
      </c>
      <c r="AH10" s="6">
        <f>[1]BASE!BM30</f>
        <v>0</v>
      </c>
      <c r="AI10" s="6">
        <f>[1]BASE!BN30</f>
        <v>0</v>
      </c>
      <c r="AJ10" s="6">
        <f>[1]BASE!BO30</f>
        <v>0</v>
      </c>
      <c r="AK10" s="6">
        <f>[1]BASE!BP30</f>
        <v>0</v>
      </c>
      <c r="AL10" s="6">
        <f>[1]BASE!BQ30</f>
        <v>0</v>
      </c>
      <c r="AM10" s="6">
        <f>[1]BASE!BR30</f>
        <v>0</v>
      </c>
      <c r="AN10" s="6">
        <f>[1]BASE!BS30</f>
        <v>0</v>
      </c>
      <c r="AO10" s="6">
        <f>[1]BASE!BT30</f>
        <v>0</v>
      </c>
      <c r="AP10" s="6">
        <f>[1]BASE!BU30</f>
        <v>0</v>
      </c>
      <c r="AQ10" s="6">
        <f>[1]BASE!BV30</f>
        <v>0</v>
      </c>
      <c r="AR10" s="6">
        <f>[1]BASE!BW30</f>
        <v>0</v>
      </c>
      <c r="AS10" s="6">
        <f>[1]BASE!BX30</f>
        <v>0</v>
      </c>
      <c r="AT10" s="9">
        <f t="shared" si="2"/>
        <v>222559245.23899999</v>
      </c>
      <c r="AU10" s="9">
        <f t="shared" si="3"/>
        <v>-2882497.551</v>
      </c>
      <c r="AV10" s="9">
        <f t="shared" si="4"/>
        <v>0</v>
      </c>
    </row>
    <row r="11" spans="1:48" x14ac:dyDescent="0.35">
      <c r="A11" s="4" t="str">
        <f>[1]BASE!H36</f>
        <v>PETROLEO</v>
      </c>
      <c r="B11" s="4" t="str">
        <f>[1]BASE!I36</f>
        <v>PLUSPETROL SA</v>
      </c>
      <c r="C11" s="4">
        <f>[1]BASE!J36</f>
        <v>0</v>
      </c>
      <c r="D11" s="4" t="str">
        <f>[1]BASE!K36</f>
        <v>AP</v>
      </c>
      <c r="E11" s="4" t="str">
        <f>[1]BASE!L36</f>
        <v>PLUSPETROL SA</v>
      </c>
      <c r="F11" s="4" t="str">
        <f>[1]BASE!M36</f>
        <v>VENTAS</v>
      </c>
      <c r="G11" s="4" t="str">
        <f>[1]BASE!N36</f>
        <v>ARS</v>
      </c>
      <c r="H11" s="4" t="str">
        <f>[1]BASE!CL36</f>
        <v>NN</v>
      </c>
      <c r="I11" s="5">
        <v>1</v>
      </c>
      <c r="J11" s="8">
        <f>[1]BASE!AO36</f>
        <v>141902.32</v>
      </c>
      <c r="K11" s="6">
        <f>[1]BASE!AP36</f>
        <v>170282.37999999998</v>
      </c>
      <c r="L11" s="6">
        <f>[1]BASE!AQ36</f>
        <v>-0.29999999998835847</v>
      </c>
      <c r="M11" s="6">
        <f>[1]BASE!AR36</f>
        <v>0</v>
      </c>
      <c r="N11" s="6">
        <f>[1]BASE!AS36</f>
        <v>224772</v>
      </c>
      <c r="O11" s="6">
        <f>[1]BASE!AT36</f>
        <v>0</v>
      </c>
      <c r="P11" s="6">
        <f>[1]BASE!AU36</f>
        <v>0</v>
      </c>
      <c r="Q11" s="6">
        <f>[1]BASE!AV36</f>
        <v>245451</v>
      </c>
      <c r="R11" s="6">
        <f>[1]BASE!AW36</f>
        <v>255269</v>
      </c>
      <c r="S11" s="6">
        <f>[1]BASE!AX36</f>
        <v>255269</v>
      </c>
      <c r="T11" s="6">
        <f>[1]BASE!AY36</f>
        <v>255269</v>
      </c>
      <c r="U11" s="6">
        <f>[1]BASE!AZ36</f>
        <v>281063</v>
      </c>
      <c r="V11" s="6">
        <f>[1]BASE!BA36</f>
        <v>280293</v>
      </c>
      <c r="W11" s="6">
        <f>[1]BASE!BB36</f>
        <v>288702</v>
      </c>
      <c r="X11" s="6">
        <f>[1]BASE!BC36</f>
        <v>294476</v>
      </c>
      <c r="Y11" s="6">
        <f>[1]BASE!BD36</f>
        <v>300366</v>
      </c>
      <c r="Z11" s="6">
        <f>[1]BASE!BE36</f>
        <v>306373</v>
      </c>
      <c r="AA11" s="6">
        <f>[1]BASE!BF36</f>
        <v>315564</v>
      </c>
      <c r="AB11" s="6">
        <f>[1]BASE!BG36</f>
        <v>325031</v>
      </c>
      <c r="AC11" s="6">
        <f>[1]BASE!BH36</f>
        <v>331532</v>
      </c>
      <c r="AD11" s="6">
        <f>[1]BASE!BI36</f>
        <v>331532</v>
      </c>
      <c r="AE11" s="6">
        <f>[1]BASE!BJ36</f>
        <v>339820</v>
      </c>
      <c r="AF11" s="6">
        <f>[1]BASE!BK36</f>
        <v>348316</v>
      </c>
      <c r="AG11" s="6">
        <f>[1]BASE!BL36</f>
        <v>357024</v>
      </c>
      <c r="AH11" s="6">
        <f>[1]BASE!BM36</f>
        <v>365950</v>
      </c>
      <c r="AI11" s="6">
        <f>[1]BASE!BN36</f>
        <v>375099</v>
      </c>
      <c r="AJ11" s="6">
        <f>[1]BASE!BO36</f>
        <v>385227</v>
      </c>
      <c r="AK11" s="6">
        <f>[1]BASE!BP36</f>
        <v>400636</v>
      </c>
      <c r="AL11" s="6">
        <f>[1]BASE!BQ36</f>
        <v>0</v>
      </c>
      <c r="AM11" s="6">
        <f>[1]BASE!BR36</f>
        <v>0</v>
      </c>
      <c r="AN11" s="6">
        <f>[1]BASE!BS36</f>
        <v>0</v>
      </c>
      <c r="AO11" s="6">
        <f>[1]BASE!BT36</f>
        <v>0</v>
      </c>
      <c r="AP11" s="6">
        <f>[1]BASE!BU36</f>
        <v>0</v>
      </c>
      <c r="AQ11" s="6">
        <f>[1]BASE!BV36</f>
        <v>0</v>
      </c>
      <c r="AR11" s="6">
        <f>[1]BASE!BW36</f>
        <v>0</v>
      </c>
      <c r="AS11" s="6">
        <f>[1]BASE!BX36</f>
        <v>0</v>
      </c>
      <c r="AT11" s="9">
        <f t="shared" si="2"/>
        <v>1829277.4</v>
      </c>
      <c r="AU11" s="9">
        <f t="shared" si="3"/>
        <v>3819029</v>
      </c>
      <c r="AV11" s="9">
        <f t="shared" si="4"/>
        <v>1526912</v>
      </c>
    </row>
    <row r="12" spans="1:48" x14ac:dyDescent="0.35">
      <c r="A12" s="4" t="str">
        <f>[1]BASE!H39</f>
        <v>PETROLEO</v>
      </c>
      <c r="B12" s="4" t="str">
        <f>[1]BASE!I39</f>
        <v>CAPEX</v>
      </c>
      <c r="C12" s="4">
        <f>[1]BASE!J39</f>
        <v>0</v>
      </c>
      <c r="D12" s="4" t="str">
        <f>[1]BASE!K39</f>
        <v>FIJO</v>
      </c>
      <c r="E12" s="4" t="str">
        <f>[1]BASE!L39</f>
        <v>LA YESERA</v>
      </c>
      <c r="F12" s="4" t="str">
        <f>[1]BASE!M39</f>
        <v>VENTAS</v>
      </c>
      <c r="G12" s="4" t="str">
        <f>[1]BASE!N39</f>
        <v>ARS</v>
      </c>
      <c r="H12" s="4" t="str">
        <f>[1]BASE!CL39</f>
        <v xml:space="preserve">BAU </v>
      </c>
      <c r="I12" s="5">
        <v>1</v>
      </c>
      <c r="J12" s="8">
        <f>[1]BASE!AO39</f>
        <v>37597.799999999988</v>
      </c>
      <c r="K12" s="6">
        <f>[1]BASE!AP39</f>
        <v>44331.46</v>
      </c>
      <c r="L12" s="6">
        <f>[1]BASE!AQ39</f>
        <v>45353.22</v>
      </c>
      <c r="M12" s="6">
        <f>[1]BASE!AR39</f>
        <v>54826.400000000009</v>
      </c>
      <c r="N12" s="6">
        <f>[1]BASE!AS39</f>
        <v>55349.41</v>
      </c>
      <c r="O12" s="6">
        <f>[1]BASE!AT39</f>
        <v>59946.8</v>
      </c>
      <c r="P12" s="6">
        <f>[1]BASE!AU39</f>
        <v>68905.069999999992</v>
      </c>
      <c r="Q12" s="6">
        <f>[1]BASE!AV39</f>
        <v>64743.519999999997</v>
      </c>
      <c r="R12" s="6">
        <f>[1]BASE!AW39</f>
        <v>64743.53</v>
      </c>
      <c r="S12" s="6">
        <f>[1]BASE!AX39</f>
        <v>70215.75</v>
      </c>
      <c r="T12" s="6">
        <f>[1]BASE!AY39</f>
        <v>73523.89</v>
      </c>
      <c r="U12" s="6">
        <f>[1]BASE!AZ39</f>
        <v>71076.280000000013</v>
      </c>
      <c r="V12" s="6">
        <f>[1]BASE!BA39</f>
        <v>66691.599999999991</v>
      </c>
      <c r="W12" s="6">
        <f>[1]BASE!BB39</f>
        <v>71076.789999999994</v>
      </c>
      <c r="X12" s="6">
        <f>[1]BASE!BC39</f>
        <v>71076.28</v>
      </c>
      <c r="Y12" s="6">
        <f>[1]BASE!BD39</f>
        <v>71076.28</v>
      </c>
      <c r="Z12" s="6">
        <f>[1]BASE!BE39</f>
        <v>71076.28</v>
      </c>
      <c r="AA12" s="6">
        <f>[1]BASE!BF39</f>
        <v>92454.9</v>
      </c>
      <c r="AB12" s="6">
        <f>[1]BASE!BG39</f>
        <v>79845.91</v>
      </c>
      <c r="AC12" s="6">
        <f>[1]BASE!BH39</f>
        <v>93743.529999999955</v>
      </c>
      <c r="AD12" s="6">
        <f>[1]BASE!BI39</f>
        <v>77542.888937804397</v>
      </c>
      <c r="AE12" s="6">
        <f>[1]BASE!BJ39</f>
        <v>84545.055415359791</v>
      </c>
      <c r="AF12" s="6">
        <f>[1]BASE!BK39</f>
        <v>84545.06</v>
      </c>
      <c r="AG12" s="6">
        <f>[1]BASE!BL39</f>
        <v>84545.06</v>
      </c>
      <c r="AH12" s="6">
        <f>[1]BASE!BM39</f>
        <v>86235.96</v>
      </c>
      <c r="AI12" s="6">
        <f>[1]BASE!BN39</f>
        <v>91171.239999999976</v>
      </c>
      <c r="AJ12" s="6">
        <f>[1]BASE!BO39</f>
        <v>91171.239999999976</v>
      </c>
      <c r="AK12" s="6">
        <f>[1]BASE!BP39</f>
        <v>100210.31999999999</v>
      </c>
      <c r="AL12" s="6">
        <f>[1]BASE!BQ39</f>
        <v>100480.89089202882</v>
      </c>
      <c r="AM12" s="6">
        <f>[1]BASE!BR39</f>
        <v>100721.53438338227</v>
      </c>
      <c r="AN12" s="6">
        <f>[1]BASE!BS39</f>
        <v>103407.28258773846</v>
      </c>
      <c r="AO12" s="6">
        <f>[1]BASE!BT39</f>
        <v>103643.13843268043</v>
      </c>
      <c r="AP12" s="6">
        <f>[1]BASE!BU39</f>
        <v>103855.89284840606</v>
      </c>
      <c r="AQ12" s="6">
        <f>[1]BASE!BV39</f>
        <v>106302.3453448723</v>
      </c>
      <c r="AR12" s="6">
        <f>[1]BASE!BW39</f>
        <v>106479.09797809104</v>
      </c>
      <c r="AS12" s="6">
        <f>[1]BASE!BX39</f>
        <v>106691.55380930709</v>
      </c>
      <c r="AT12" s="9">
        <f t="shared" si="2"/>
        <v>710613.13000000012</v>
      </c>
      <c r="AU12" s="9">
        <f t="shared" si="3"/>
        <v>948219.63435316412</v>
      </c>
      <c r="AV12" s="9">
        <f t="shared" si="4"/>
        <v>1200370.4962765065</v>
      </c>
    </row>
    <row r="13" spans="1:48" x14ac:dyDescent="0.35">
      <c r="A13" s="4" t="str">
        <f>[1]BASE!H48</f>
        <v>PETROLEO</v>
      </c>
      <c r="B13" s="4" t="str">
        <f>[1]BASE!I48</f>
        <v>CAPEX</v>
      </c>
      <c r="C13" s="4">
        <f>[1]BASE!J48</f>
        <v>0</v>
      </c>
      <c r="D13" s="4" t="str">
        <f>[1]BASE!K48</f>
        <v>FIJO</v>
      </c>
      <c r="E13" s="4" t="str">
        <f>[1]BASE!L48</f>
        <v>LOMA NEGRA</v>
      </c>
      <c r="F13" s="4" t="str">
        <f>[1]BASE!M48</f>
        <v>VENTAS</v>
      </c>
      <c r="G13" s="4" t="str">
        <f>[1]BASE!N48</f>
        <v>ARS</v>
      </c>
      <c r="H13" s="4" t="str">
        <f>[1]BASE!CL48</f>
        <v xml:space="preserve">BAU </v>
      </c>
      <c r="I13" s="5">
        <v>1</v>
      </c>
      <c r="J13" s="8">
        <f>[1]BASE!AO48</f>
        <v>150391.20000000004</v>
      </c>
      <c r="K13" s="6">
        <f>[1]BASE!AP48</f>
        <v>177325.83</v>
      </c>
      <c r="L13" s="6">
        <f>[1]BASE!AQ48</f>
        <v>181412.90000000002</v>
      </c>
      <c r="M13" s="6">
        <f>[1]BASE!AR48</f>
        <v>219305.57</v>
      </c>
      <c r="N13" s="6">
        <f>[1]BASE!AS48</f>
        <v>221397.65000000002</v>
      </c>
      <c r="O13" s="6">
        <f>[1]BASE!AT48</f>
        <v>239787.2</v>
      </c>
      <c r="P13" s="6">
        <f>[1]BASE!AU48</f>
        <v>275620.29000000004</v>
      </c>
      <c r="Q13" s="6">
        <f>[1]BASE!AV48</f>
        <v>258974.09999999998</v>
      </c>
      <c r="R13" s="6">
        <f>[1]BASE!AW48</f>
        <v>258974.11</v>
      </c>
      <c r="S13" s="6">
        <f>[1]BASE!AX48</f>
        <v>280862.94999999995</v>
      </c>
      <c r="T13" s="6">
        <f>[1]BASE!AY48</f>
        <v>294095.58999999997</v>
      </c>
      <c r="U13" s="6">
        <f>[1]BASE!AZ48</f>
        <v>284305.11000000004</v>
      </c>
      <c r="V13" s="6">
        <f>[1]BASE!BA48</f>
        <v>266766.38999999996</v>
      </c>
      <c r="W13" s="6">
        <f>[1]BASE!BB48</f>
        <v>284304.62</v>
      </c>
      <c r="X13" s="6">
        <f>[1]BASE!BC48</f>
        <v>284305.11</v>
      </c>
      <c r="Y13" s="6">
        <f>[1]BASE!BD48</f>
        <v>284305.11</v>
      </c>
      <c r="Z13" s="6">
        <f>[1]BASE!BE48</f>
        <v>284305.11</v>
      </c>
      <c r="AA13" s="6">
        <f>[1]BASE!BF48</f>
        <v>369819.65</v>
      </c>
      <c r="AB13" s="6">
        <f>[1]BASE!BG48</f>
        <v>319383.65000000002</v>
      </c>
      <c r="AC13" s="6">
        <f>[1]BASE!BH48</f>
        <v>374974.18000000011</v>
      </c>
      <c r="AD13" s="6">
        <f>[1]BASE!BI48</f>
        <v>310171.55575121799</v>
      </c>
      <c r="AE13" s="6">
        <f>[1]BASE!BJ48</f>
        <v>338180.2216614394</v>
      </c>
      <c r="AF13" s="6">
        <f>[1]BASE!BK48</f>
        <v>338180.22</v>
      </c>
      <c r="AG13" s="6">
        <f>[1]BASE!BL48</f>
        <v>338180.22</v>
      </c>
      <c r="AH13" s="6">
        <f>[1]BASE!BM48</f>
        <v>344953.00000000006</v>
      </c>
      <c r="AI13" s="6">
        <f>[1]BASE!BN48</f>
        <v>364684.9699999998</v>
      </c>
      <c r="AJ13" s="6">
        <f>[1]BASE!BO48</f>
        <v>364684.9699999998</v>
      </c>
      <c r="AK13" s="6">
        <f>[1]BASE!BP48</f>
        <v>400841.29000000004</v>
      </c>
      <c r="AL13" s="6">
        <f>[1]BASE!BQ48</f>
        <v>401923.56356811529</v>
      </c>
      <c r="AM13" s="6">
        <f>[1]BASE!BR48</f>
        <v>402886.13753352908</v>
      </c>
      <c r="AN13" s="6">
        <f>[1]BASE!BS48</f>
        <v>413629.13035095384</v>
      </c>
      <c r="AO13" s="6">
        <f>[1]BASE!BT48</f>
        <v>414572.5537307217</v>
      </c>
      <c r="AP13" s="6">
        <f>[1]BASE!BU48</f>
        <v>415423.57139362424</v>
      </c>
      <c r="AQ13" s="6">
        <f>[1]BASE!BV48</f>
        <v>425209.3813794892</v>
      </c>
      <c r="AR13" s="6">
        <f>[1]BASE!BW48</f>
        <v>425916.39191236417</v>
      </c>
      <c r="AS13" s="6">
        <f>[1]BASE!BX48</f>
        <v>426766.21523722837</v>
      </c>
      <c r="AT13" s="9">
        <f t="shared" si="2"/>
        <v>2842452.4999999995</v>
      </c>
      <c r="AU13" s="9">
        <f t="shared" si="3"/>
        <v>3792876.0374126565</v>
      </c>
      <c r="AV13" s="9">
        <f t="shared" si="4"/>
        <v>4801491.1751060253</v>
      </c>
    </row>
    <row r="14" spans="1:48" x14ac:dyDescent="0.35">
      <c r="A14" s="4" t="str">
        <f>[1]BASE!H57</f>
        <v>PETROLEO</v>
      </c>
      <c r="B14" s="4" t="str">
        <f>[1]BASE!I57</f>
        <v>CAPEX</v>
      </c>
      <c r="C14" s="4">
        <f>[1]BASE!J57</f>
        <v>0</v>
      </c>
      <c r="D14" s="4" t="str">
        <f>[1]BASE!K57</f>
        <v>FIJO</v>
      </c>
      <c r="E14" s="4" t="str">
        <f>[1]BASE!L57</f>
        <v>CAPEX - Aguada del Cajon</v>
      </c>
      <c r="F14" s="4" t="str">
        <f>[1]BASE!M57</f>
        <v>VENTAS</v>
      </c>
      <c r="G14" s="4" t="str">
        <f>[1]BASE!N57</f>
        <v>ARS</v>
      </c>
      <c r="H14" s="4" t="str">
        <f>[1]BASE!CL57</f>
        <v xml:space="preserve">BAU </v>
      </c>
      <c r="I14" s="5">
        <v>1</v>
      </c>
      <c r="J14" s="8">
        <f>[1]BASE!AO57</f>
        <v>598336.99000000022</v>
      </c>
      <c r="K14" s="6">
        <f>[1]BASE!AP57</f>
        <v>508160.39</v>
      </c>
      <c r="L14" s="6">
        <f>[1]BASE!AQ57</f>
        <v>436499.3899999999</v>
      </c>
      <c r="M14" s="6">
        <f>[1]BASE!AR57</f>
        <v>349450.10000000003</v>
      </c>
      <c r="N14" s="6">
        <f>[1]BASE!AS57</f>
        <v>368513.29999999993</v>
      </c>
      <c r="O14" s="6">
        <f>[1]BASE!AT57</f>
        <v>359549.25000000006</v>
      </c>
      <c r="P14" s="6">
        <f>[1]BASE!AU57</f>
        <v>403220.18</v>
      </c>
      <c r="Q14" s="6">
        <f>[1]BASE!AV57</f>
        <v>84833.74</v>
      </c>
      <c r="R14" s="6">
        <f>[1]BASE!AW57</f>
        <v>84834.74</v>
      </c>
      <c r="S14" s="6">
        <f>[1]BASE!AX57</f>
        <v>92005.08</v>
      </c>
      <c r="T14" s="6">
        <f>[1]BASE!AY57</f>
        <v>96339.840000000011</v>
      </c>
      <c r="U14" s="6">
        <f>[1]BASE!AZ57</f>
        <v>937740.65999999992</v>
      </c>
      <c r="V14" s="6">
        <f>[1]BASE!BA57</f>
        <v>931995.31000000017</v>
      </c>
      <c r="W14" s="6">
        <f>[1]BASE!BB57</f>
        <v>924810.57000000007</v>
      </c>
      <c r="X14" s="6">
        <f>[1]BASE!BC57</f>
        <v>93132.66</v>
      </c>
      <c r="Y14" s="6">
        <f>[1]BASE!BD57</f>
        <v>93132.66</v>
      </c>
      <c r="Z14" s="6">
        <f>[1]BASE!BE57</f>
        <v>93132.66</v>
      </c>
      <c r="AA14" s="6">
        <f>[1]BASE!BF57</f>
        <v>121145.52000000002</v>
      </c>
      <c r="AB14" s="6">
        <f>[1]BASE!BG57</f>
        <v>104623.6925857389</v>
      </c>
      <c r="AC14" s="6">
        <f>[1]BASE!BH57</f>
        <v>101605.99454767301</v>
      </c>
      <c r="AD14" s="6">
        <f>[1]BASE!BI57</f>
        <v>101605.99454767301</v>
      </c>
      <c r="AE14" s="6">
        <f>[1]BASE!BJ57</f>
        <v>110781.07299375781</v>
      </c>
      <c r="AF14" s="6">
        <f>[1]BASE!BK57</f>
        <v>110781.07299375781</v>
      </c>
      <c r="AG14" s="6">
        <f>[1]BASE!BL57</f>
        <v>110781.07299375781</v>
      </c>
      <c r="AH14" s="6">
        <f>[1]BASE!BM57</f>
        <v>112996.69140000001</v>
      </c>
      <c r="AI14" s="6">
        <f>[1]BASE!BN57</f>
        <v>119463.4967727589</v>
      </c>
      <c r="AJ14" s="6">
        <f>[1]BASE!BO57</f>
        <v>119463.4967727589</v>
      </c>
      <c r="AK14" s="6">
        <f>[1]BASE!BP57</f>
        <v>131307.58569679732</v>
      </c>
      <c r="AL14" s="6">
        <f>[1]BASE!BQ57</f>
        <v>131307.58569679732</v>
      </c>
      <c r="AM14" s="6">
        <f>[1]BASE!BR57</f>
        <v>131307.58569679732</v>
      </c>
      <c r="AN14" s="6">
        <f>[1]BASE!BS57</f>
        <v>134833.20667073841</v>
      </c>
      <c r="AO14" s="6">
        <f>[1]BASE!BT57</f>
        <v>134833.20667073841</v>
      </c>
      <c r="AP14" s="6">
        <f>[1]BASE!BU57</f>
        <v>134833.20667073841</v>
      </c>
      <c r="AQ14" s="6">
        <f>[1]BASE!BV57</f>
        <v>138085.4943151373</v>
      </c>
      <c r="AR14" s="6">
        <f>[1]BASE!BW57</f>
        <v>138085.4943151373</v>
      </c>
      <c r="AS14" s="6">
        <f>[1]BASE!BX57</f>
        <v>138085.4943151373</v>
      </c>
      <c r="AT14" s="9">
        <f t="shared" si="2"/>
        <v>4319483.6600000011</v>
      </c>
      <c r="AU14" s="9">
        <f t="shared" si="3"/>
        <v>2897528.2806623583</v>
      </c>
      <c r="AV14" s="9">
        <f t="shared" si="4"/>
        <v>1564602.5449935372</v>
      </c>
    </row>
    <row r="15" spans="1:48" x14ac:dyDescent="0.35">
      <c r="A15" s="4" t="str">
        <f>[1]BASE!H66</f>
        <v>PETROLEO</v>
      </c>
      <c r="B15" s="4" t="str">
        <f>[1]BASE!I66</f>
        <v>Vista OIL</v>
      </c>
      <c r="C15" s="4">
        <f>[1]BASE!J66</f>
        <v>0</v>
      </c>
      <c r="D15" s="4" t="str">
        <f>[1]BASE!K66</f>
        <v>FIJO</v>
      </c>
      <c r="E15" s="4" t="str">
        <f>[1]BASE!L66</f>
        <v xml:space="preserve">Médico asistencial </v>
      </c>
      <c r="F15" s="4" t="str">
        <f>[1]BASE!M66</f>
        <v>VENTAS</v>
      </c>
      <c r="G15" s="4" t="str">
        <f>[1]BASE!N66</f>
        <v>ARS</v>
      </c>
      <c r="H15" s="4" t="str">
        <f>[1]BASE!CL66</f>
        <v xml:space="preserve">BAU </v>
      </c>
      <c r="I15" s="5">
        <v>1</v>
      </c>
      <c r="J15" s="8">
        <f>[1]BASE!AO66</f>
        <v>0</v>
      </c>
      <c r="K15" s="6">
        <f>[1]BASE!AP66</f>
        <v>0</v>
      </c>
      <c r="L15" s="6">
        <f>[1]BASE!AQ66</f>
        <v>0</v>
      </c>
      <c r="M15" s="6">
        <f>[1]BASE!AR66</f>
        <v>0</v>
      </c>
      <c r="N15" s="6">
        <f>[1]BASE!AS66</f>
        <v>0</v>
      </c>
      <c r="O15" s="6">
        <f>[1]BASE!AT66</f>
        <v>0</v>
      </c>
      <c r="P15" s="6">
        <f>[1]BASE!AU66</f>
        <v>0</v>
      </c>
      <c r="Q15" s="6">
        <f>[1]BASE!AV66</f>
        <v>0</v>
      </c>
      <c r="R15" s="6">
        <f>[1]BASE!AW66</f>
        <v>0</v>
      </c>
      <c r="S15" s="6">
        <f>[1]BASE!AX66</f>
        <v>0</v>
      </c>
      <c r="T15" s="6">
        <f>[1]BASE!AY66</f>
        <v>0</v>
      </c>
      <c r="U15" s="6">
        <f>[1]BASE!AZ66</f>
        <v>0</v>
      </c>
      <c r="V15" s="6">
        <f>[1]BASE!BA66</f>
        <v>0</v>
      </c>
      <c r="W15" s="6">
        <f>[1]BASE!BB66</f>
        <v>0</v>
      </c>
      <c r="X15" s="6">
        <f>[1]BASE!BC66</f>
        <v>0</v>
      </c>
      <c r="Y15" s="6">
        <f>[1]BASE!BD66</f>
        <v>0</v>
      </c>
      <c r="Z15" s="6">
        <f>[1]BASE!BE66</f>
        <v>0</v>
      </c>
      <c r="AA15" s="6">
        <f>[1]BASE!BF66</f>
        <v>0</v>
      </c>
      <c r="AB15" s="6">
        <f>[1]BASE!BG66</f>
        <v>0</v>
      </c>
      <c r="AC15" s="6">
        <f>[1]BASE!BH66</f>
        <v>0</v>
      </c>
      <c r="AD15" s="6">
        <f>[1]BASE!BI66</f>
        <v>0</v>
      </c>
      <c r="AE15" s="6">
        <f>[1]BASE!BJ66</f>
        <v>0</v>
      </c>
      <c r="AF15" s="6">
        <f>[1]BASE!BK66</f>
        <v>0</v>
      </c>
      <c r="AG15" s="6">
        <f>[1]BASE!BL66</f>
        <v>0</v>
      </c>
      <c r="AH15" s="6">
        <f>[1]BASE!BM66</f>
        <v>0</v>
      </c>
      <c r="AI15" s="6">
        <f>[1]BASE!BN66</f>
        <v>0</v>
      </c>
      <c r="AJ15" s="6">
        <f>[1]BASE!BO66</f>
        <v>0</v>
      </c>
      <c r="AK15" s="6">
        <f>[1]BASE!BP66</f>
        <v>0</v>
      </c>
      <c r="AL15" s="6">
        <f>[1]BASE!BQ66</f>
        <v>36234137.374909967</v>
      </c>
      <c r="AM15" s="6">
        <f>[1]BASE!BR66</f>
        <v>36234137.374909967</v>
      </c>
      <c r="AN15" s="6">
        <f>[1]BASE!BS66</f>
        <v>37207027.357036576</v>
      </c>
      <c r="AO15" s="6">
        <f>[1]BASE!BT66</f>
        <v>37207027.357036576</v>
      </c>
      <c r="AP15" s="6">
        <f>[1]BASE!BU66</f>
        <v>37207027.357036576</v>
      </c>
      <c r="AQ15" s="6">
        <f>[1]BASE!BV66</f>
        <v>38104491.404254578</v>
      </c>
      <c r="AR15" s="6">
        <f>[1]BASE!BW66</f>
        <v>38104491.404254578</v>
      </c>
      <c r="AS15" s="6">
        <f>[1]BASE!BX66</f>
        <v>38104491.404254578</v>
      </c>
      <c r="AT15" s="9">
        <f t="shared" si="2"/>
        <v>0</v>
      </c>
      <c r="AU15" s="9">
        <f t="shared" si="3"/>
        <v>0</v>
      </c>
      <c r="AV15" s="9">
        <f t="shared" si="4"/>
        <v>298402831.03369337</v>
      </c>
    </row>
    <row r="16" spans="1:48" x14ac:dyDescent="0.35">
      <c r="A16" s="4" t="str">
        <f>[1]BASE!H75</f>
        <v>PETROLEO</v>
      </c>
      <c r="B16" s="4" t="str">
        <f>[1]BASE!I75</f>
        <v>Vista OIL</v>
      </c>
      <c r="C16" s="4">
        <f>[1]BASE!J75</f>
        <v>0</v>
      </c>
      <c r="D16" s="4" t="str">
        <f>[1]BASE!K75</f>
        <v>FIJO</v>
      </c>
      <c r="E16" s="4" t="str">
        <f>[1]BASE!L75</f>
        <v>Vista Oil - Yac. Bajada del Palo y Aguila Mora</v>
      </c>
      <c r="F16" s="4" t="str">
        <f>[1]BASE!M75</f>
        <v>VENTAS</v>
      </c>
      <c r="G16" s="4" t="str">
        <f>[1]BASE!N75</f>
        <v>ARS</v>
      </c>
      <c r="H16" s="4" t="str">
        <f>[1]BASE!CL75</f>
        <v xml:space="preserve">BAU </v>
      </c>
      <c r="I16" s="5">
        <v>1</v>
      </c>
      <c r="J16" s="8">
        <f>[1]BASE!AO75</f>
        <v>45878805.629999995</v>
      </c>
      <c r="K16" s="6">
        <f>[1]BASE!AP75</f>
        <v>59160001.93</v>
      </c>
      <c r="L16" s="6">
        <f>[1]BASE!AQ75</f>
        <v>87501728.170000017</v>
      </c>
      <c r="M16" s="6">
        <f>[1]BASE!AR75</f>
        <v>39556812.18999999</v>
      </c>
      <c r="N16" s="6">
        <f>[1]BASE!AS75</f>
        <v>47682218.469999984</v>
      </c>
      <c r="O16" s="6">
        <f>[1]BASE!AT75</f>
        <v>70449809.339999989</v>
      </c>
      <c r="P16" s="6">
        <f>[1]BASE!AU75</f>
        <v>36202883.780000001</v>
      </c>
      <c r="Q16" s="6">
        <f>[1]BASE!AV75</f>
        <v>76540133.219999999</v>
      </c>
      <c r="R16" s="6">
        <f>[1]BASE!AW75</f>
        <v>17629594.389999986</v>
      </c>
      <c r="S16" s="6">
        <f>[1]BASE!AX75</f>
        <v>40911152.219999991</v>
      </c>
      <c r="T16" s="6">
        <f>[1]BASE!AY75</f>
        <v>116173221.48999996</v>
      </c>
      <c r="U16" s="6">
        <f>[1]BASE!AZ75</f>
        <v>110422600.23999991</v>
      </c>
      <c r="V16" s="6">
        <f>[1]BASE!BA75</f>
        <v>210993508.77999997</v>
      </c>
      <c r="W16" s="6">
        <f>[1]BASE!BB75</f>
        <v>-33912954.909999907</v>
      </c>
      <c r="X16" s="6">
        <f>[1]BASE!BC75</f>
        <v>19827533.709999971</v>
      </c>
      <c r="Y16" s="6">
        <f>[1]BASE!BD75</f>
        <v>24009202.00000006</v>
      </c>
      <c r="Z16" s="6">
        <f>[1]BASE!BE75</f>
        <v>-52122741.290000007</v>
      </c>
      <c r="AA16" s="6">
        <f>[1]BASE!BF75</f>
        <v>178002578.74999994</v>
      </c>
      <c r="AB16" s="6">
        <f>[1]BASE!BG75</f>
        <v>-42114150.920000002</v>
      </c>
      <c r="AC16" s="6">
        <f>[1]BASE!BH75</f>
        <v>269520.48999992432</v>
      </c>
      <c r="AD16" s="6">
        <f>[1]BASE!BI75</f>
        <v>64414625.820000082</v>
      </c>
      <c r="AE16" s="6">
        <f>[1]BASE!BJ75</f>
        <v>74859992.400000006</v>
      </c>
      <c r="AF16" s="6">
        <f>[1]BASE!BK75</f>
        <v>70252048.530000031</v>
      </c>
      <c r="AG16" s="6">
        <f>[1]BASE!BL75</f>
        <v>-211657185.33999997</v>
      </c>
      <c r="AH16" s="6">
        <f>[1]BASE!BM75</f>
        <v>292250606.48000002</v>
      </c>
      <c r="AI16" s="6">
        <f>[1]BASE!BN75</f>
        <v>291777138.61999995</v>
      </c>
      <c r="AJ16" s="6">
        <f>[1]BASE!BO75</f>
        <v>-301389006.92000002</v>
      </c>
      <c r="AK16" s="6">
        <f>[1]BASE!BP75</f>
        <v>8671677.2799999975</v>
      </c>
      <c r="AL16" s="6">
        <f>[1]BASE!BQ75</f>
        <v>254650180.38217998</v>
      </c>
      <c r="AM16" s="6">
        <f>[1]BASE!BR75</f>
        <v>255553412.36840624</v>
      </c>
      <c r="AN16" s="6">
        <f>[1]BASE!BS75</f>
        <v>262258562.05661318</v>
      </c>
      <c r="AO16" s="6">
        <f>[1]BASE!BT75</f>
        <v>328126002.187199</v>
      </c>
      <c r="AP16" s="6">
        <f>[1]BASE!BU75</f>
        <v>329126432.91092682</v>
      </c>
      <c r="AQ16" s="6">
        <f>[1]BASE!BV75</f>
        <v>336711554.10526025</v>
      </c>
      <c r="AR16" s="6">
        <f>[1]BASE!BW75</f>
        <v>337543316.23834974</v>
      </c>
      <c r="AS16" s="6">
        <f>[1]BASE!BX75</f>
        <v>338543920.19811857</v>
      </c>
      <c r="AT16" s="9">
        <f t="shared" si="2"/>
        <v>748108961.06999981</v>
      </c>
      <c r="AU16" s="9">
        <f t="shared" si="3"/>
        <v>302821978.0200001</v>
      </c>
      <c r="AV16" s="9">
        <f t="shared" si="4"/>
        <v>2733823795.9070539</v>
      </c>
    </row>
    <row r="17" spans="1:48" x14ac:dyDescent="0.35">
      <c r="A17" s="4" t="str">
        <f>[1]BASE!H84</f>
        <v>PETROLEO</v>
      </c>
      <c r="B17" s="4" t="str">
        <f>[1]BASE!I84</f>
        <v>Vista OIL</v>
      </c>
      <c r="C17" s="4">
        <f>[1]BASE!J84</f>
        <v>0</v>
      </c>
      <c r="D17" s="4" t="str">
        <f>[1]BASE!K84</f>
        <v>FIJO</v>
      </c>
      <c r="E17" s="4" t="str">
        <f>[1]BASE!L84</f>
        <v>Vista Oil - Yac. Entre Lomas</v>
      </c>
      <c r="F17" s="4" t="str">
        <f>[1]BASE!M84</f>
        <v>VENTAS</v>
      </c>
      <c r="G17" s="4" t="str">
        <f>[1]BASE!N84</f>
        <v>ARS</v>
      </c>
      <c r="H17" s="4" t="str">
        <f>[1]BASE!CL84</f>
        <v xml:space="preserve">BAU </v>
      </c>
      <c r="I17" s="5">
        <v>1</v>
      </c>
      <c r="J17" s="8">
        <f>[1]BASE!AO84</f>
        <v>0</v>
      </c>
      <c r="K17" s="6">
        <f>[1]BASE!AP84</f>
        <v>0</v>
      </c>
      <c r="L17" s="6">
        <f>[1]BASE!AQ84</f>
        <v>0</v>
      </c>
      <c r="M17" s="6">
        <f>[1]BASE!AR84</f>
        <v>0</v>
      </c>
      <c r="N17" s="6">
        <f>[1]BASE!AS84</f>
        <v>0</v>
      </c>
      <c r="O17" s="6">
        <f>[1]BASE!AT84</f>
        <v>0</v>
      </c>
      <c r="P17" s="6">
        <f>[1]BASE!AU84</f>
        <v>0</v>
      </c>
      <c r="Q17" s="6">
        <f>[1]BASE!AV84</f>
        <v>0</v>
      </c>
      <c r="R17" s="6">
        <f>[1]BASE!AW84</f>
        <v>0</v>
      </c>
      <c r="S17" s="6">
        <f>[1]BASE!AX84</f>
        <v>0</v>
      </c>
      <c r="T17" s="6">
        <f>[1]BASE!AY84</f>
        <v>0</v>
      </c>
      <c r="U17" s="6">
        <f>[1]BASE!AZ84</f>
        <v>0</v>
      </c>
      <c r="V17" s="6">
        <f>[1]BASE!BA84</f>
        <v>0</v>
      </c>
      <c r="W17" s="6">
        <f>[1]BASE!BB84</f>
        <v>0</v>
      </c>
      <c r="X17" s="6">
        <f>[1]BASE!BC84</f>
        <v>0</v>
      </c>
      <c r="Y17" s="6">
        <f>[1]BASE!BD84</f>
        <v>0</v>
      </c>
      <c r="Z17" s="6">
        <f>[1]BASE!BE84</f>
        <v>0</v>
      </c>
      <c r="AA17" s="6">
        <f>[1]BASE!BF84</f>
        <v>0</v>
      </c>
      <c r="AB17" s="6">
        <f>[1]BASE!BG84</f>
        <v>0</v>
      </c>
      <c r="AC17" s="6">
        <f>[1]BASE!BH84</f>
        <v>0</v>
      </c>
      <c r="AD17" s="6">
        <f>[1]BASE!BI84</f>
        <v>0</v>
      </c>
      <c r="AE17" s="6">
        <f>[1]BASE!BJ84</f>
        <v>0</v>
      </c>
      <c r="AF17" s="6">
        <f>[1]BASE!BK84</f>
        <v>0</v>
      </c>
      <c r="AG17" s="6">
        <f>[1]BASE!BL84</f>
        <v>0</v>
      </c>
      <c r="AH17" s="6">
        <f>[1]BASE!BM84</f>
        <v>0</v>
      </c>
      <c r="AI17" s="6">
        <f>[1]BASE!BN84</f>
        <v>0</v>
      </c>
      <c r="AJ17" s="6">
        <f>[1]BASE!BO84</f>
        <v>0</v>
      </c>
      <c r="AK17" s="6">
        <f>[1]BASE!BP84</f>
        <v>0</v>
      </c>
      <c r="AL17" s="6">
        <f>[1]BASE!BQ84</f>
        <v>0</v>
      </c>
      <c r="AM17" s="6">
        <f>[1]BASE!BR84</f>
        <v>0</v>
      </c>
      <c r="AN17" s="6">
        <f>[1]BASE!BS84</f>
        <v>0</v>
      </c>
      <c r="AO17" s="6">
        <f>[1]BASE!BT84</f>
        <v>0</v>
      </c>
      <c r="AP17" s="6">
        <f>[1]BASE!BU84</f>
        <v>0</v>
      </c>
      <c r="AQ17" s="6">
        <f>[1]BASE!BV84</f>
        <v>0</v>
      </c>
      <c r="AR17" s="6">
        <f>[1]BASE!BW84</f>
        <v>0</v>
      </c>
      <c r="AS17" s="6">
        <f>[1]BASE!BX84</f>
        <v>0</v>
      </c>
      <c r="AT17" s="9">
        <f t="shared" si="2"/>
        <v>0</v>
      </c>
      <c r="AU17" s="9">
        <f t="shared" si="3"/>
        <v>0</v>
      </c>
      <c r="AV17" s="9">
        <f t="shared" si="4"/>
        <v>0</v>
      </c>
    </row>
    <row r="18" spans="1:48" x14ac:dyDescent="0.35">
      <c r="A18" s="4" t="str">
        <f>[1]BASE!H93</f>
        <v>PETROLEO</v>
      </c>
      <c r="B18" s="4" t="str">
        <f>[1]BASE!I93</f>
        <v>Vista OIL</v>
      </c>
      <c r="C18" s="4">
        <f>[1]BASE!J93</f>
        <v>0</v>
      </c>
      <c r="D18" s="4" t="str">
        <f>[1]BASE!K93</f>
        <v>FIJO</v>
      </c>
      <c r="E18" s="4" t="str">
        <f>[1]BASE!L93</f>
        <v>AJUSTES y BONOS 2022</v>
      </c>
      <c r="F18" s="4" t="str">
        <f>[1]BASE!M93</f>
        <v>VENTAS</v>
      </c>
      <c r="G18" s="4" t="str">
        <f>[1]BASE!N93</f>
        <v>ARS</v>
      </c>
      <c r="H18" s="4" t="str">
        <f>[1]BASE!CL93</f>
        <v xml:space="preserve">BAU </v>
      </c>
      <c r="I18" s="5">
        <v>1</v>
      </c>
      <c r="J18" s="8">
        <f>[1]BASE!AO93</f>
        <v>2546598.7199999988</v>
      </c>
      <c r="K18" s="6">
        <f>[1]BASE!AP93</f>
        <v>-5329920.49</v>
      </c>
      <c r="L18" s="6">
        <f>[1]BASE!AQ93</f>
        <v>2687493.2800000003</v>
      </c>
      <c r="M18" s="6">
        <f>[1]BASE!AR93</f>
        <v>2554193.98</v>
      </c>
      <c r="N18" s="6">
        <f>[1]BASE!AS93</f>
        <v>28312993.119999997</v>
      </c>
      <c r="O18" s="6">
        <f>[1]BASE!AT93</f>
        <v>7931283.9499999955</v>
      </c>
      <c r="P18" s="6">
        <f>[1]BASE!AU93</f>
        <v>8657201.5900000054</v>
      </c>
      <c r="Q18" s="6">
        <f>[1]BASE!AV93</f>
        <v>8811401.0899999999</v>
      </c>
      <c r="R18" s="6">
        <f>[1]BASE!AW93</f>
        <v>-33919827.640000001</v>
      </c>
      <c r="S18" s="6">
        <f>[1]BASE!AX93</f>
        <v>9028244.5099999979</v>
      </c>
      <c r="T18" s="6">
        <f>[1]BASE!AY93</f>
        <v>-18047003.759999998</v>
      </c>
      <c r="U18" s="6">
        <f>[1]BASE!AZ93</f>
        <v>9412425.0899999999</v>
      </c>
      <c r="V18" s="6">
        <f>[1]BASE!BA93</f>
        <v>8548110.8699999992</v>
      </c>
      <c r="W18" s="6">
        <f>[1]BASE!BB93</f>
        <v>11075580.700000005</v>
      </c>
      <c r="X18" s="6">
        <f>[1]BASE!BC93</f>
        <v>56375583.490000002</v>
      </c>
      <c r="Y18" s="6">
        <f>[1]BASE!BD93</f>
        <v>-31882186.260000005</v>
      </c>
      <c r="Z18" s="6">
        <f>[1]BASE!BE93</f>
        <v>17463519.56000001</v>
      </c>
      <c r="AA18" s="6">
        <f>[1]BASE!BF93</f>
        <v>35187624.150000006</v>
      </c>
      <c r="AB18" s="6">
        <f>[1]BASE!BG93</f>
        <v>39819795.170000002</v>
      </c>
      <c r="AC18" s="6">
        <f>[1]BASE!BH93</f>
        <v>40669604.419999987</v>
      </c>
      <c r="AD18" s="6">
        <f>[1]BASE!BI93</f>
        <v>37305951.68</v>
      </c>
      <c r="AE18" s="6">
        <f>[1]BASE!BJ93</f>
        <v>-13121968.99000001</v>
      </c>
      <c r="AF18" s="6">
        <f>[1]BASE!BK93</f>
        <v>18337310.330000035</v>
      </c>
      <c r="AG18" s="6">
        <f>[1]BASE!BL93</f>
        <v>12273461.989999996</v>
      </c>
      <c r="AH18" s="6">
        <f>[1]BASE!BM93</f>
        <v>21039896.019999988</v>
      </c>
      <c r="AI18" s="6">
        <f>[1]BASE!BN93</f>
        <v>16657356.929999948</v>
      </c>
      <c r="AJ18" s="6">
        <f>[1]BASE!BO93</f>
        <v>-227897030.59999993</v>
      </c>
      <c r="AK18" s="6">
        <f>[1]BASE!BP93</f>
        <v>-64806856.620000005</v>
      </c>
      <c r="AL18" s="6">
        <f>[1]BASE!BQ93</f>
        <v>21176221.776281003</v>
      </c>
      <c r="AM18" s="6">
        <f>[1]BASE!BR93</f>
        <v>21252294.747420285</v>
      </c>
      <c r="AN18" s="6">
        <f>[1]BASE!BS93</f>
        <v>21817023.041473147</v>
      </c>
      <c r="AO18" s="6">
        <f>[1]BASE!BT93</f>
        <v>21891664.869516529</v>
      </c>
      <c r="AP18" s="6">
        <f>[1]BASE!BU93</f>
        <v>21959072.34731498</v>
      </c>
      <c r="AQ18" s="6">
        <f>[1]BASE!BV93</f>
        <v>22470146.104226809</v>
      </c>
      <c r="AR18" s="6">
        <f>[1]BASE!BW93</f>
        <v>22526188.952761997</v>
      </c>
      <c r="AS18" s="6">
        <f>[1]BASE!BX93</f>
        <v>22593608.102937467</v>
      </c>
      <c r="AT18" s="9">
        <f t="shared" si="2"/>
        <v>22645083.439999994</v>
      </c>
      <c r="AU18" s="9">
        <f t="shared" si="3"/>
        <v>232052387.11000004</v>
      </c>
      <c r="AV18" s="9">
        <f t="shared" si="4"/>
        <v>-79320414.328067809</v>
      </c>
    </row>
    <row r="19" spans="1:48" x14ac:dyDescent="0.35">
      <c r="A19" s="4" t="str">
        <f>[1]BASE!H102</f>
        <v>PETROLEO</v>
      </c>
      <c r="B19" s="4" t="str">
        <f>[1]BASE!I102</f>
        <v>Vista OIL</v>
      </c>
      <c r="C19" s="4">
        <f>[1]BASE!J102</f>
        <v>0</v>
      </c>
      <c r="D19" s="4" t="str">
        <f>[1]BASE!K102</f>
        <v>EVENTUAL</v>
      </c>
      <c r="E19" s="4" t="str">
        <f>[1]BASE!L102</f>
        <v>EVENTUALES - Enfermero simple</v>
      </c>
      <c r="F19" s="4" t="str">
        <f>[1]BASE!M102</f>
        <v>VENTAS</v>
      </c>
      <c r="G19" s="4" t="str">
        <f>[1]BASE!N102</f>
        <v>ARS</v>
      </c>
      <c r="H19" s="4" t="str">
        <f>[1]BASE!CL102</f>
        <v xml:space="preserve">BAU </v>
      </c>
      <c r="I19" s="5">
        <v>1</v>
      </c>
      <c r="J19" s="8">
        <f>[1]BASE!AO102</f>
        <v>74125320.24000001</v>
      </c>
      <c r="K19" s="6">
        <f>[1]BASE!AP102</f>
        <v>94913400.809999987</v>
      </c>
      <c r="L19" s="6">
        <f>[1]BASE!AQ102</f>
        <v>87586668.590000018</v>
      </c>
      <c r="M19" s="6">
        <f>[1]BASE!AR102</f>
        <v>177055510.08000004</v>
      </c>
      <c r="N19" s="6">
        <f>[1]BASE!AS102</f>
        <v>149688783.13999999</v>
      </c>
      <c r="O19" s="6">
        <f>[1]BASE!AT102</f>
        <v>149895834.91000003</v>
      </c>
      <c r="P19" s="6">
        <f>[1]BASE!AU102</f>
        <v>169860766.86999997</v>
      </c>
      <c r="Q19" s="6">
        <f>[1]BASE!AV102</f>
        <v>186181330.06999999</v>
      </c>
      <c r="R19" s="6">
        <f>[1]BASE!AW102</f>
        <v>268410059.31999993</v>
      </c>
      <c r="S19" s="6">
        <f>[1]BASE!AX102</f>
        <v>221746468.00999999</v>
      </c>
      <c r="T19" s="6">
        <f>[1]BASE!AY102</f>
        <v>243213047.25999999</v>
      </c>
      <c r="U19" s="6">
        <f>[1]BASE!AZ102</f>
        <v>213354451.49999994</v>
      </c>
      <c r="V19" s="6">
        <f>[1]BASE!BA102</f>
        <v>145583826.51000002</v>
      </c>
      <c r="W19" s="6">
        <f>[1]BASE!BB102</f>
        <v>438659874.15000004</v>
      </c>
      <c r="X19" s="6">
        <f>[1]BASE!BC102</f>
        <v>339423698.43000001</v>
      </c>
      <c r="Y19" s="6">
        <f>[1]BASE!BD102</f>
        <v>387601168.01000005</v>
      </c>
      <c r="Z19" s="6">
        <f>[1]BASE!BE102</f>
        <v>314228870.31000006</v>
      </c>
      <c r="AA19" s="6">
        <f>[1]BASE!BF102</f>
        <v>208048701.22999999</v>
      </c>
      <c r="AB19" s="6">
        <f>[1]BASE!BG102</f>
        <v>264187889.11000001</v>
      </c>
      <c r="AC19" s="6">
        <f>[1]BASE!BH102</f>
        <v>176988184.61000001</v>
      </c>
      <c r="AD19" s="6">
        <f>[1]BASE!BI102</f>
        <v>131307356.19</v>
      </c>
      <c r="AE19" s="6">
        <f>[1]BASE!BJ102</f>
        <v>169447885.45999998</v>
      </c>
      <c r="AF19" s="6">
        <f>[1]BASE!BK102</f>
        <v>182314738.53999996</v>
      </c>
      <c r="AG19" s="6">
        <f>[1]BASE!BL102</f>
        <v>442092550.40999997</v>
      </c>
      <c r="AH19" s="6">
        <f>[1]BASE!BM102</f>
        <v>28360.49</v>
      </c>
      <c r="AI19" s="6">
        <f>[1]BASE!BN102</f>
        <v>24020.9</v>
      </c>
      <c r="AJ19" s="6">
        <f>[1]BASE!BO102</f>
        <v>882194039.38999987</v>
      </c>
      <c r="AK19" s="6">
        <f>[1]BASE!BP102</f>
        <v>380745550.11999995</v>
      </c>
      <c r="AL19" s="6">
        <f>[1]BASE!BQ102</f>
        <v>0</v>
      </c>
      <c r="AM19" s="6">
        <f>[1]BASE!BR102</f>
        <v>0</v>
      </c>
      <c r="AN19" s="6">
        <f>[1]BASE!BS102</f>
        <v>0</v>
      </c>
      <c r="AO19" s="6">
        <f>[1]BASE!BT102</f>
        <v>0</v>
      </c>
      <c r="AP19" s="6">
        <f>[1]BASE!BU102</f>
        <v>0</v>
      </c>
      <c r="AQ19" s="6">
        <f>[1]BASE!BV102</f>
        <v>0</v>
      </c>
      <c r="AR19" s="6">
        <f>[1]BASE!BW102</f>
        <v>0</v>
      </c>
      <c r="AS19" s="6">
        <f>[1]BASE!BX102</f>
        <v>0</v>
      </c>
      <c r="AT19" s="9">
        <f t="shared" si="2"/>
        <v>2036031640.8000002</v>
      </c>
      <c r="AU19" s="9">
        <f t="shared" si="3"/>
        <v>3199884742.9600005</v>
      </c>
      <c r="AV19" s="9">
        <f t="shared" si="4"/>
        <v>1262991970.8999999</v>
      </c>
    </row>
    <row r="20" spans="1:48" x14ac:dyDescent="0.35">
      <c r="A20" s="4" t="str">
        <f>[1]BASE!H111</f>
        <v>PETROLEO</v>
      </c>
      <c r="B20" s="4" t="str">
        <f>[1]BASE!I111</f>
        <v>YPF</v>
      </c>
      <c r="C20" s="4">
        <f>[1]BASE!J111</f>
        <v>0</v>
      </c>
      <c r="D20" s="4" t="str">
        <f>[1]BASE!K111</f>
        <v>AP</v>
      </c>
      <c r="E20" s="4" t="str">
        <f>[1]BASE!L111</f>
        <v>YPF - Área Protegida - OPESSA</v>
      </c>
      <c r="F20" s="4" t="str">
        <f>[1]BASE!M111</f>
        <v>VENTAS</v>
      </c>
      <c r="G20" s="4" t="str">
        <f>[1]BASE!N111</f>
        <v>ARS</v>
      </c>
      <c r="H20" s="4" t="str">
        <f>[1]BASE!CL111</f>
        <v xml:space="preserve">BAU </v>
      </c>
      <c r="I20" s="5">
        <v>1</v>
      </c>
      <c r="J20" s="8">
        <f>[1]BASE!AO111</f>
        <v>7947369.2300000004</v>
      </c>
      <c r="K20" s="6">
        <f>[1]BASE!AP111</f>
        <v>7813901.0500000007</v>
      </c>
      <c r="L20" s="6">
        <f>[1]BASE!AQ111</f>
        <v>7813901.0499999952</v>
      </c>
      <c r="M20" s="6">
        <f>[1]BASE!AR111</f>
        <v>7780534.0200000005</v>
      </c>
      <c r="N20" s="6">
        <f>[1]BASE!AS111</f>
        <v>15768006.649999995</v>
      </c>
      <c r="O20" s="6">
        <f>[1]BASE!AT111</f>
        <v>15767972.879999997</v>
      </c>
      <c r="P20" s="6">
        <f>[1]BASE!AU111</f>
        <v>15767939.269999998</v>
      </c>
      <c r="Q20" s="6">
        <f>[1]BASE!AV111</f>
        <v>15767972.849999998</v>
      </c>
      <c r="R20" s="6">
        <f>[1]BASE!AW111</f>
        <v>15767972.850000003</v>
      </c>
      <c r="S20" s="6">
        <f>[1]BASE!AX111</f>
        <v>15767972.850000003</v>
      </c>
      <c r="T20" s="6">
        <f>[1]BASE!AY111</f>
        <v>21062289.899999999</v>
      </c>
      <c r="U20" s="6">
        <f>[1]BASE!AZ111</f>
        <v>21062289.93</v>
      </c>
      <c r="V20" s="6">
        <f>[1]BASE!BA111</f>
        <v>21062289.93</v>
      </c>
      <c r="W20" s="6">
        <f>[1]BASE!BB111</f>
        <v>21062289.93</v>
      </c>
      <c r="X20" s="6">
        <f>[1]BASE!BC111</f>
        <v>21062289.93</v>
      </c>
      <c r="Y20" s="6">
        <f>[1]BASE!BD111</f>
        <v>26163775.050000012</v>
      </c>
      <c r="Z20" s="6">
        <f>[1]BASE!BE111</f>
        <v>21779489.600000001</v>
      </c>
      <c r="AA20" s="6">
        <f>[1]BASE!BF111</f>
        <v>23568550.110000003</v>
      </c>
      <c r="AB20" s="6">
        <f>[1]BASE!BG111</f>
        <v>23568480.340000007</v>
      </c>
      <c r="AC20" s="6">
        <f>[1]BASE!BH111</f>
        <v>23568515.25</v>
      </c>
      <c r="AD20" s="6">
        <f>[1]BASE!BI111</f>
        <v>23568515.240000002</v>
      </c>
      <c r="AE20" s="6">
        <f>[1]BASE!BJ111</f>
        <v>25379476.430000003</v>
      </c>
      <c r="AF20" s="6">
        <f>[1]BASE!BK111</f>
        <v>25379476.440000001</v>
      </c>
      <c r="AG20" s="6">
        <f>[1]BASE!BL111</f>
        <v>25379476.43</v>
      </c>
      <c r="AH20" s="6">
        <f>[1]BASE!BM111</f>
        <v>27373463.960000008</v>
      </c>
      <c r="AI20" s="6">
        <f>[1]BASE!BN111</f>
        <v>20282242.169999991</v>
      </c>
      <c r="AJ20" s="6">
        <f>[1]BASE!BO111</f>
        <v>20282242.16</v>
      </c>
      <c r="AK20" s="6">
        <f>[1]BASE!BP111</f>
        <v>20282242.16</v>
      </c>
      <c r="AL20" s="6">
        <f>[1]BASE!BQ111</f>
        <v>30129578.096353598</v>
      </c>
      <c r="AM20" s="6">
        <f>[1]BASE!BR111</f>
        <v>30851156.776811738</v>
      </c>
      <c r="AN20" s="6">
        <f>[1]BASE!BS111</f>
        <v>31622435.696232028</v>
      </c>
      <c r="AO20" s="6">
        <f>[1]BASE!BT111</f>
        <v>32343694.016111922</v>
      </c>
      <c r="AP20" s="6">
        <f>[1]BASE!BU111</f>
        <v>33007632.201202292</v>
      </c>
      <c r="AQ20" s="6">
        <f>[1]BASE!BV111</f>
        <v>33617442.715307198</v>
      </c>
      <c r="AR20" s="6">
        <f>[1]BASE!BW111</f>
        <v>34176411.711027227</v>
      </c>
      <c r="AS20" s="6">
        <f>[1]BASE!BX111</f>
        <v>34858327.513839751</v>
      </c>
      <c r="AT20" s="9">
        <f t="shared" si="2"/>
        <v>168088122.53</v>
      </c>
      <c r="AU20" s="9">
        <f t="shared" si="3"/>
        <v>281542624.68000001</v>
      </c>
      <c r="AV20" s="9">
        <f t="shared" si="4"/>
        <v>348826869.17688572</v>
      </c>
    </row>
    <row r="21" spans="1:48" x14ac:dyDescent="0.35">
      <c r="A21" s="4" t="str">
        <f>[1]BASE!H120</f>
        <v>PETROLEO</v>
      </c>
      <c r="B21" s="4" t="str">
        <f>[1]BASE!I120</f>
        <v>YPF</v>
      </c>
      <c r="C21" s="4">
        <f>[1]BASE!J120</f>
        <v>0</v>
      </c>
      <c r="D21" s="4" t="str">
        <f>[1]BASE!K120</f>
        <v>AP</v>
      </c>
      <c r="E21" s="4" t="str">
        <f>[1]BASE!L120</f>
        <v>YPF - Área Protegida - YPF GAS</v>
      </c>
      <c r="F21" s="4" t="str">
        <f>[1]BASE!M120</f>
        <v>VENTAS</v>
      </c>
      <c r="G21" s="4" t="str">
        <f>[1]BASE!N120</f>
        <v>ARS</v>
      </c>
      <c r="H21" s="4" t="str">
        <f>[1]BASE!CL120</f>
        <v xml:space="preserve">BAU </v>
      </c>
      <c r="I21" s="5">
        <v>1</v>
      </c>
      <c r="J21" s="8">
        <f>[1]BASE!AO120</f>
        <v>2147174.0700000003</v>
      </c>
      <c r="K21" s="6">
        <f>[1]BASE!AP120</f>
        <v>2059301.1900000004</v>
      </c>
      <c r="L21" s="6">
        <f>[1]BASE!AQ120</f>
        <v>2147137.3500000015</v>
      </c>
      <c r="M21" s="6">
        <f>[1]BASE!AR120</f>
        <v>2147161.830000001</v>
      </c>
      <c r="N21" s="6">
        <f>[1]BASE!AS120</f>
        <v>4332850.1100000003</v>
      </c>
      <c r="O21" s="6">
        <f>[1]BASE!AT120</f>
        <v>4332772.2700000005</v>
      </c>
      <c r="P21" s="6">
        <f>[1]BASE!AU120</f>
        <v>4332694.43</v>
      </c>
      <c r="Q21" s="6">
        <f>[1]BASE!AV120</f>
        <v>4332772.2699999996</v>
      </c>
      <c r="R21" s="6">
        <f>[1]BASE!AW120</f>
        <v>4332772.2700000014</v>
      </c>
      <c r="S21" s="6">
        <f>[1]BASE!AX120</f>
        <v>4332772.2700000014</v>
      </c>
      <c r="T21" s="6">
        <f>[1]BASE!AY120</f>
        <v>-5261110.6800000006</v>
      </c>
      <c r="U21" s="6">
        <f>[1]BASE!AZ120</f>
        <v>5581704.049999998</v>
      </c>
      <c r="V21" s="6">
        <f>[1]BASE!BA120</f>
        <v>5286424.26</v>
      </c>
      <c r="W21" s="6">
        <f>[1]BASE!BB120</f>
        <v>5787561.0599999996</v>
      </c>
      <c r="X21" s="6">
        <f>[1]BASE!BC120</f>
        <v>5787561.0599999996</v>
      </c>
      <c r="Y21" s="6">
        <f>[1]BASE!BD120</f>
        <v>7189362.8299999982</v>
      </c>
      <c r="Z21" s="6">
        <f>[1]BASE!BE120</f>
        <v>5984001.6200000029</v>
      </c>
      <c r="AA21" s="6">
        <f>[1]BASE!BF120</f>
        <v>6476169.7900000028</v>
      </c>
      <c r="AB21" s="6">
        <f>[1]BASE!BG120</f>
        <v>6476169.7900000028</v>
      </c>
      <c r="AC21" s="6">
        <f>[1]BASE!BH120</f>
        <v>6476160.21</v>
      </c>
      <c r="AD21" s="6">
        <f>[1]BASE!BI120</f>
        <v>6476160.21</v>
      </c>
      <c r="AE21" s="6">
        <f>[1]BASE!BJ120</f>
        <v>6973759.589999998</v>
      </c>
      <c r="AF21" s="6">
        <f>[1]BASE!BK120</f>
        <v>6973759.6100000003</v>
      </c>
      <c r="AG21" s="6">
        <f>[1]BASE!BL120</f>
        <v>6973769.1699999999</v>
      </c>
      <c r="AH21" s="6">
        <f>[1]BASE!BM120</f>
        <v>7521676.79</v>
      </c>
      <c r="AI21" s="6">
        <f>[1]BASE!BN120</f>
        <v>2979415.79</v>
      </c>
      <c r="AJ21" s="6">
        <f>[1]BASE!BO120</f>
        <v>2979415.8</v>
      </c>
      <c r="AK21" s="6">
        <f>[1]BASE!BP120</f>
        <v>2979415.8</v>
      </c>
      <c r="AL21" s="6">
        <f>[1]BASE!BQ120</f>
        <v>8279001.4763696222</v>
      </c>
      <c r="AM21" s="6">
        <f>[1]BASE!BR120</f>
        <v>8477276.7705581188</v>
      </c>
      <c r="AN21" s="6">
        <f>[1]BASE!BS120</f>
        <v>8689208.6898220703</v>
      </c>
      <c r="AO21" s="6">
        <f>[1]BASE!BT120</f>
        <v>8887395.9553733319</v>
      </c>
      <c r="AP21" s="6">
        <f>[1]BASE!BU120</f>
        <v>9069832.8018835261</v>
      </c>
      <c r="AQ21" s="6">
        <f>[1]BASE!BV120</f>
        <v>9237396.4541336466</v>
      </c>
      <c r="AR21" s="6">
        <f>[1]BASE!BW120</f>
        <v>9390989.8806997836</v>
      </c>
      <c r="AS21" s="6">
        <f>[1]BASE!BX120</f>
        <v>9578366.6146251727</v>
      </c>
      <c r="AT21" s="9">
        <f t="shared" si="2"/>
        <v>34818001.430000007</v>
      </c>
      <c r="AU21" s="9">
        <f t="shared" si="3"/>
        <v>76860859.200000018</v>
      </c>
      <c r="AV21" s="9">
        <f t="shared" si="4"/>
        <v>88069392.823465273</v>
      </c>
    </row>
    <row r="22" spans="1:48" x14ac:dyDescent="0.35">
      <c r="A22" s="4" t="str">
        <f>[1]BASE!H129</f>
        <v>PETROLEO</v>
      </c>
      <c r="B22" s="4" t="str">
        <f>[1]BASE!I129</f>
        <v>YPF</v>
      </c>
      <c r="C22" s="4">
        <f>[1]BASE!J129</f>
        <v>0</v>
      </c>
      <c r="D22" s="4" t="str">
        <f>[1]BASE!K129</f>
        <v>EVENTUAL</v>
      </c>
      <c r="E22" s="4" t="str">
        <f>[1]BASE!L129</f>
        <v>EVENTUALES</v>
      </c>
      <c r="F22" s="4" t="str">
        <f>[1]BASE!M129</f>
        <v>VENTAS</v>
      </c>
      <c r="G22" s="4" t="str">
        <f>[1]BASE!N129</f>
        <v>ARS</v>
      </c>
      <c r="H22" s="4" t="str">
        <f>[1]BASE!CL129</f>
        <v xml:space="preserve">BAU </v>
      </c>
      <c r="I22" s="5">
        <v>1</v>
      </c>
      <c r="J22" s="8">
        <f>[1]BASE!AO129</f>
        <v>106750.64</v>
      </c>
      <c r="K22" s="6">
        <f>[1]BASE!AP129</f>
        <v>22803.4</v>
      </c>
      <c r="L22" s="6">
        <f>[1]BASE!AQ129</f>
        <v>39409.33</v>
      </c>
      <c r="M22" s="6">
        <f>[1]BASE!AR129</f>
        <v>6206.31</v>
      </c>
      <c r="N22" s="6">
        <f>[1]BASE!AS129</f>
        <v>0</v>
      </c>
      <c r="O22" s="6">
        <f>[1]BASE!AT129</f>
        <v>0</v>
      </c>
      <c r="P22" s="6">
        <f>[1]BASE!AU129</f>
        <v>0</v>
      </c>
      <c r="Q22" s="6">
        <f>[1]BASE!AV129</f>
        <v>0</v>
      </c>
      <c r="R22" s="6">
        <f>[1]BASE!AW129</f>
        <v>5200.04</v>
      </c>
      <c r="S22" s="6">
        <f>[1]BASE!AX129</f>
        <v>0</v>
      </c>
      <c r="T22" s="6">
        <f>[1]BASE!AY129</f>
        <v>0</v>
      </c>
      <c r="U22" s="6">
        <f>[1]BASE!AZ129</f>
        <v>0</v>
      </c>
      <c r="V22" s="6">
        <f>[1]BASE!BA129</f>
        <v>0</v>
      </c>
      <c r="W22" s="6">
        <f>[1]BASE!BB129</f>
        <v>0</v>
      </c>
      <c r="X22" s="6">
        <f>[1]BASE!BC129</f>
        <v>0</v>
      </c>
      <c r="Y22" s="6">
        <f>[1]BASE!BD129</f>
        <v>0</v>
      </c>
      <c r="Z22" s="6">
        <f>[1]BASE!BE129</f>
        <v>0</v>
      </c>
      <c r="AA22" s="6">
        <f>[1]BASE!BF129</f>
        <v>0</v>
      </c>
      <c r="AB22" s="6">
        <f>[1]BASE!BG129</f>
        <v>0</v>
      </c>
      <c r="AC22" s="6">
        <f>[1]BASE!BH129</f>
        <v>0</v>
      </c>
      <c r="AD22" s="6">
        <f>[1]BASE!BI129</f>
        <v>0</v>
      </c>
      <c r="AE22" s="6">
        <f>[1]BASE!BJ129</f>
        <v>0</v>
      </c>
      <c r="AF22" s="6">
        <f>[1]BASE!BK129</f>
        <v>0</v>
      </c>
      <c r="AG22" s="6">
        <f>[1]BASE!BL129</f>
        <v>0</v>
      </c>
      <c r="AH22" s="6">
        <f>[1]BASE!BM129</f>
        <v>0</v>
      </c>
      <c r="AI22" s="6">
        <f>[1]BASE!BN129</f>
        <v>0</v>
      </c>
      <c r="AJ22" s="6">
        <f>[1]BASE!BO129</f>
        <v>0</v>
      </c>
      <c r="AK22" s="6">
        <f>[1]BASE!BP129</f>
        <v>0</v>
      </c>
      <c r="AL22" s="6">
        <f>[1]BASE!BQ129</f>
        <v>0</v>
      </c>
      <c r="AM22" s="6">
        <f>[1]BASE!BR129</f>
        <v>0</v>
      </c>
      <c r="AN22" s="6">
        <f>[1]BASE!BS129</f>
        <v>0</v>
      </c>
      <c r="AO22" s="6">
        <f>[1]BASE!BT129</f>
        <v>0</v>
      </c>
      <c r="AP22" s="6">
        <f>[1]BASE!BU129</f>
        <v>0</v>
      </c>
      <c r="AQ22" s="6">
        <f>[1]BASE!BV129</f>
        <v>0</v>
      </c>
      <c r="AR22" s="6">
        <f>[1]BASE!BW129</f>
        <v>0</v>
      </c>
      <c r="AS22" s="6">
        <f>[1]BASE!BX129</f>
        <v>0</v>
      </c>
      <c r="AT22" s="9">
        <f t="shared" si="2"/>
        <v>180369.72</v>
      </c>
      <c r="AU22" s="9">
        <f t="shared" si="3"/>
        <v>0</v>
      </c>
      <c r="AV22" s="9">
        <f t="shared" si="4"/>
        <v>0</v>
      </c>
    </row>
    <row r="23" spans="1:48" x14ac:dyDescent="0.35">
      <c r="A23" s="4" t="str">
        <f>[1]BASE!H138</f>
        <v>PETROLEO</v>
      </c>
      <c r="B23" s="4" t="str">
        <f>[1]BASE!I138</f>
        <v>YPF</v>
      </c>
      <c r="C23" s="4">
        <f>[1]BASE!J138</f>
        <v>0</v>
      </c>
      <c r="D23" s="4" t="str">
        <f>[1]BASE!K138</f>
        <v>MEDICAMENTOS</v>
      </c>
      <c r="E23" s="4" t="str">
        <f>[1]BASE!L138</f>
        <v>MEDICAMENTOS</v>
      </c>
      <c r="F23" s="4" t="str">
        <f>[1]BASE!M138</f>
        <v>VENTAS</v>
      </c>
      <c r="G23" s="4" t="str">
        <f>[1]BASE!N138</f>
        <v>ARS</v>
      </c>
      <c r="H23" s="4" t="str">
        <f>[1]BASE!CL138</f>
        <v xml:space="preserve">BAU </v>
      </c>
      <c r="I23" s="5">
        <v>1</v>
      </c>
      <c r="J23" s="8">
        <f>[1]BASE!AO138</f>
        <v>0</v>
      </c>
      <c r="K23" s="6">
        <f>[1]BASE!AP138</f>
        <v>323335.83999999997</v>
      </c>
      <c r="L23" s="6">
        <f>[1]BASE!AQ138</f>
        <v>0</v>
      </c>
      <c r="M23" s="6">
        <f>[1]BASE!AR138</f>
        <v>0</v>
      </c>
      <c r="N23" s="6">
        <f>[1]BASE!AS138</f>
        <v>0</v>
      </c>
      <c r="O23" s="6">
        <f>[1]BASE!AT138</f>
        <v>0</v>
      </c>
      <c r="P23" s="6">
        <f>[1]BASE!AU138</f>
        <v>0</v>
      </c>
      <c r="Q23" s="6">
        <f>[1]BASE!AV138</f>
        <v>0</v>
      </c>
      <c r="R23" s="6">
        <f>[1]BASE!AW138</f>
        <v>0</v>
      </c>
      <c r="S23" s="6">
        <f>[1]BASE!AX138</f>
        <v>0</v>
      </c>
      <c r="T23" s="6">
        <f>[1]BASE!AY138</f>
        <v>0</v>
      </c>
      <c r="U23" s="6">
        <f>[1]BASE!AZ138</f>
        <v>0</v>
      </c>
      <c r="V23" s="6">
        <f>[1]BASE!BA138</f>
        <v>0</v>
      </c>
      <c r="W23" s="6">
        <f>[1]BASE!BB138</f>
        <v>0</v>
      </c>
      <c r="X23" s="6">
        <f>[1]BASE!BC138</f>
        <v>0</v>
      </c>
      <c r="Y23" s="6">
        <f>[1]BASE!BD138</f>
        <v>0</v>
      </c>
      <c r="Z23" s="6">
        <f>[1]BASE!BE138</f>
        <v>0</v>
      </c>
      <c r="AA23" s="6">
        <f>[1]BASE!BF138</f>
        <v>0</v>
      </c>
      <c r="AB23" s="6">
        <f>[1]BASE!BG138</f>
        <v>0</v>
      </c>
      <c r="AC23" s="6">
        <f>[1]BASE!BH138</f>
        <v>0</v>
      </c>
      <c r="AD23" s="6">
        <f>[1]BASE!BI138</f>
        <v>0</v>
      </c>
      <c r="AE23" s="6">
        <f>[1]BASE!BJ138</f>
        <v>0</v>
      </c>
      <c r="AF23" s="6">
        <f>[1]BASE!BK138</f>
        <v>0</v>
      </c>
      <c r="AG23" s="6">
        <f>[1]BASE!BL138</f>
        <v>0</v>
      </c>
      <c r="AH23" s="6">
        <f>[1]BASE!BM138</f>
        <v>0</v>
      </c>
      <c r="AI23" s="6">
        <f>[1]BASE!BN138</f>
        <v>0</v>
      </c>
      <c r="AJ23" s="6">
        <f>[1]BASE!BO138</f>
        <v>0</v>
      </c>
      <c r="AK23" s="6">
        <f>[1]BASE!BP138</f>
        <v>0</v>
      </c>
      <c r="AL23" s="6">
        <f>[1]BASE!BQ138</f>
        <v>110355.55251206252</v>
      </c>
      <c r="AM23" s="6">
        <f>[1]BASE!BR138</f>
        <v>112998.47747132441</v>
      </c>
      <c r="AN23" s="6">
        <f>[1]BASE!BS138</f>
        <v>115823.43940810752</v>
      </c>
      <c r="AO23" s="6">
        <f>[1]BASE!BT138</f>
        <v>118465.19098324492</v>
      </c>
      <c r="AP23" s="6">
        <f>[1]BASE!BU138</f>
        <v>120896.99620186401</v>
      </c>
      <c r="AQ23" s="6">
        <f>[1]BASE!BV138</f>
        <v>123130.5480955049</v>
      </c>
      <c r="AR23" s="6">
        <f>[1]BASE!BW138</f>
        <v>125177.88284949743</v>
      </c>
      <c r="AS23" s="6">
        <f>[1]BASE!BX138</f>
        <v>127675.53465681532</v>
      </c>
      <c r="AT23" s="9">
        <f t="shared" si="2"/>
        <v>323335.83999999997</v>
      </c>
      <c r="AU23" s="9">
        <f t="shared" si="3"/>
        <v>0</v>
      </c>
      <c r="AV23" s="9">
        <f t="shared" si="4"/>
        <v>954523.62217842101</v>
      </c>
    </row>
    <row r="24" spans="1:48" x14ac:dyDescent="0.35">
      <c r="A24" s="4" t="str">
        <f>[1]BASE!H144</f>
        <v>PETROLEO</v>
      </c>
      <c r="B24" s="4" t="str">
        <f>[1]BASE!I144</f>
        <v>YPF</v>
      </c>
      <c r="C24" s="4">
        <f>[1]BASE!J144</f>
        <v>0</v>
      </c>
      <c r="D24" s="4" t="str">
        <f>[1]BASE!K144</f>
        <v>AP</v>
      </c>
      <c r="E24" s="4" t="str">
        <f>[1]BASE!L144</f>
        <v>YPF - Área Protegida - YPF</v>
      </c>
      <c r="F24" s="4" t="str">
        <f>[1]BASE!M144</f>
        <v>VENTAS</v>
      </c>
      <c r="G24" s="4" t="str">
        <f>[1]BASE!N144</f>
        <v>ARS</v>
      </c>
      <c r="H24" s="4" t="str">
        <f>[1]BASE!CL144</f>
        <v xml:space="preserve">BAU </v>
      </c>
      <c r="I24" s="5">
        <v>1</v>
      </c>
      <c r="J24" s="8">
        <f>[1]BASE!AO144</f>
        <v>7023010.5499999989</v>
      </c>
      <c r="K24" s="6">
        <f>[1]BASE!AP144</f>
        <v>4658118.41</v>
      </c>
      <c r="L24" s="6">
        <f>[1]BASE!AQ144</f>
        <v>4450173.5200000005</v>
      </c>
      <c r="M24" s="6">
        <f>[1]BASE!AR144</f>
        <v>4891688.03</v>
      </c>
      <c r="N24" s="6">
        <f>[1]BASE!AS144</f>
        <v>11870933.249999996</v>
      </c>
      <c r="O24" s="6">
        <f>[1]BASE!AT144</f>
        <v>14958115.449999994</v>
      </c>
      <c r="P24" s="6">
        <f>[1]BASE!AU144</f>
        <v>10212545.869999997</v>
      </c>
      <c r="Q24" s="6">
        <f>[1]BASE!AV144</f>
        <v>12203833.18</v>
      </c>
      <c r="R24" s="6">
        <f>[1]BASE!AW144</f>
        <v>10871923.379999999</v>
      </c>
      <c r="S24" s="6">
        <f>[1]BASE!AX144</f>
        <v>11755665.600000001</v>
      </c>
      <c r="T24" s="6">
        <f>[1]BASE!AY144</f>
        <v>28467085.02</v>
      </c>
      <c r="U24" s="6">
        <f>[1]BASE!AZ144</f>
        <v>23753723.289999999</v>
      </c>
      <c r="V24" s="6">
        <f>[1]BASE!BA144</f>
        <v>14519792.68</v>
      </c>
      <c r="W24" s="6">
        <f>[1]BASE!BB144</f>
        <v>13085522.220000001</v>
      </c>
      <c r="X24" s="6">
        <f>[1]BASE!BC144</f>
        <v>12273980.669999991</v>
      </c>
      <c r="Y24" s="6">
        <f>[1]BASE!BD144</f>
        <v>15870066.559999991</v>
      </c>
      <c r="Z24" s="6">
        <f>[1]BASE!BE144</f>
        <v>12946255.359999999</v>
      </c>
      <c r="AA24" s="6">
        <f>[1]BASE!BF144</f>
        <v>12107564.390000002</v>
      </c>
      <c r="AB24" s="6">
        <f>[1]BASE!BG144</f>
        <v>13231274.340000004</v>
      </c>
      <c r="AC24" s="6">
        <f>[1]BASE!BH144</f>
        <v>15607799.649999999</v>
      </c>
      <c r="AD24" s="6">
        <f>[1]BASE!BI144</f>
        <v>13756345.059999997</v>
      </c>
      <c r="AE24" s="6">
        <f>[1]BASE!BJ144</f>
        <v>15821253.599999994</v>
      </c>
      <c r="AF24" s="6">
        <f>[1]BASE!BK144</f>
        <v>13112409.410000002</v>
      </c>
      <c r="AG24" s="6">
        <f>[1]BASE!BL144</f>
        <v>20104815.09</v>
      </c>
      <c r="AH24" s="6">
        <f>[1]BASE!BM144</f>
        <v>16102855.039999997</v>
      </c>
      <c r="AI24" s="6">
        <f>[1]BASE!BN144</f>
        <v>18299183.030000001</v>
      </c>
      <c r="AJ24" s="6">
        <f>[1]BASE!BO144</f>
        <v>15388154.48</v>
      </c>
      <c r="AK24" s="6">
        <f>[1]BASE!BP144</f>
        <v>30022382.149999999</v>
      </c>
      <c r="AL24" s="6">
        <f>[1]BASE!BQ144</f>
        <v>15678488.285570458</v>
      </c>
      <c r="AM24" s="6">
        <f>[1]BASE!BR144</f>
        <v>16053975.219124615</v>
      </c>
      <c r="AN24" s="6">
        <f>[1]BASE!BS144</f>
        <v>16455324.599602729</v>
      </c>
      <c r="AO24" s="6">
        <f>[1]BASE!BT144</f>
        <v>16830644.827550948</v>
      </c>
      <c r="AP24" s="6">
        <f>[1]BASE!BU144</f>
        <v>17176137.453567576</v>
      </c>
      <c r="AQ24" s="6">
        <f>[1]BASE!BV144</f>
        <v>17493463.735775575</v>
      </c>
      <c r="AR24" s="6">
        <f>[1]BASE!BW144</f>
        <v>17784333.685011744</v>
      </c>
      <c r="AS24" s="6">
        <f>[1]BASE!BX144</f>
        <v>18139181.299935218</v>
      </c>
      <c r="AT24" s="9">
        <f t="shared" si="2"/>
        <v>145116815.54999998</v>
      </c>
      <c r="AU24" s="9">
        <f t="shared" si="3"/>
        <v>172437079.02999997</v>
      </c>
      <c r="AV24" s="9">
        <f t="shared" si="4"/>
        <v>215424123.80613887</v>
      </c>
    </row>
    <row r="25" spans="1:48" x14ac:dyDescent="0.35">
      <c r="A25" s="4" t="str">
        <f>[1]BASE!H153</f>
        <v>PETROLEO</v>
      </c>
      <c r="B25" s="4" t="str">
        <f>[1]BASE!I153</f>
        <v>YPF</v>
      </c>
      <c r="C25" s="4">
        <f>[1]BASE!J153</f>
        <v>0</v>
      </c>
      <c r="D25" s="4" t="str">
        <f>[1]BASE!K153</f>
        <v>DEA</v>
      </c>
      <c r="E25" s="4" t="str">
        <f>[1]BASE!L153</f>
        <v>YPF - DEAS</v>
      </c>
      <c r="F25" s="4" t="str">
        <f>[1]BASE!M153</f>
        <v>VENTAS</v>
      </c>
      <c r="G25" s="4" t="str">
        <f>[1]BASE!N153</f>
        <v>ARS</v>
      </c>
      <c r="H25" s="4" t="str">
        <f>[1]BASE!CL153</f>
        <v>NN</v>
      </c>
      <c r="I25" s="5">
        <v>1</v>
      </c>
      <c r="J25" s="8">
        <f>[1]BASE!AO153</f>
        <v>103332.79999999981</v>
      </c>
      <c r="K25" s="6">
        <f>[1]BASE!AP153</f>
        <v>0</v>
      </c>
      <c r="L25" s="6">
        <f>[1]BASE!AQ153</f>
        <v>0</v>
      </c>
      <c r="M25" s="6">
        <f>[1]BASE!AR153</f>
        <v>0</v>
      </c>
      <c r="N25" s="6">
        <f>[1]BASE!AS153</f>
        <v>0</v>
      </c>
      <c r="O25" s="6">
        <f>[1]BASE!AT153</f>
        <v>0</v>
      </c>
      <c r="P25" s="6">
        <f>[1]BASE!AU153</f>
        <v>0</v>
      </c>
      <c r="Q25" s="6">
        <f>[1]BASE!AV153</f>
        <v>0</v>
      </c>
      <c r="R25" s="6">
        <f>[1]BASE!AW153</f>
        <v>0</v>
      </c>
      <c r="S25" s="6">
        <f>[1]BASE!AX153</f>
        <v>0</v>
      </c>
      <c r="T25" s="6">
        <f>[1]BASE!AY153</f>
        <v>0</v>
      </c>
      <c r="U25" s="6">
        <f>[1]BASE!AZ153</f>
        <v>0</v>
      </c>
      <c r="V25" s="6">
        <f>[1]BASE!BA153</f>
        <v>0</v>
      </c>
      <c r="W25" s="6">
        <f>[1]BASE!BB153</f>
        <v>0</v>
      </c>
      <c r="X25" s="6">
        <f>[1]BASE!BC153</f>
        <v>0</v>
      </c>
      <c r="Y25" s="6">
        <f>[1]BASE!BD153</f>
        <v>0</v>
      </c>
      <c r="Z25" s="6">
        <f>[1]BASE!BE153</f>
        <v>0</v>
      </c>
      <c r="AA25" s="6">
        <f>[1]BASE!BF153</f>
        <v>0</v>
      </c>
      <c r="AB25" s="6">
        <f>[1]BASE!BG153</f>
        <v>0</v>
      </c>
      <c r="AC25" s="6">
        <f>[1]BASE!BH153</f>
        <v>0</v>
      </c>
      <c r="AD25" s="6">
        <f>[1]BASE!BI153</f>
        <v>0</v>
      </c>
      <c r="AE25" s="6">
        <f>[1]BASE!BJ153</f>
        <v>0</v>
      </c>
      <c r="AF25" s="6">
        <f>[1]BASE!BK153</f>
        <v>0</v>
      </c>
      <c r="AG25" s="6">
        <f>[1]BASE!BL153</f>
        <v>0</v>
      </c>
      <c r="AH25" s="6">
        <f>[1]BASE!BM153</f>
        <v>0</v>
      </c>
      <c r="AI25" s="6">
        <f>[1]BASE!BN153</f>
        <v>0</v>
      </c>
      <c r="AJ25" s="6">
        <f>[1]BASE!BO153</f>
        <v>0</v>
      </c>
      <c r="AK25" s="6">
        <f>[1]BASE!BP153</f>
        <v>0</v>
      </c>
      <c r="AL25" s="6">
        <f>[1]BASE!BQ153</f>
        <v>396353.58102554973</v>
      </c>
      <c r="AM25" s="6">
        <f>[1]BASE!BR153</f>
        <v>15329254.525161507</v>
      </c>
      <c r="AN25" s="6">
        <f>[1]BASE!BS153</f>
        <v>405121.31859141588</v>
      </c>
      <c r="AO25" s="6">
        <f>[1]BASE!BT153</f>
        <v>15668352.964512601</v>
      </c>
      <c r="AP25" s="6">
        <f>[1]BASE!BU153</f>
        <v>414083.0072799765</v>
      </c>
      <c r="AQ25" s="6">
        <f>[1]BASE!BV153</f>
        <v>418637.92036005616</v>
      </c>
      <c r="AR25" s="6">
        <f>[1]BASE!BW153</f>
        <v>423242.93748401676</v>
      </c>
      <c r="AS25" s="6">
        <f>[1]BASE!BX153</f>
        <v>427898.60979634093</v>
      </c>
      <c r="AT25" s="9">
        <f t="shared" si="2"/>
        <v>103332.79999999981</v>
      </c>
      <c r="AU25" s="9">
        <f t="shared" si="3"/>
        <v>0</v>
      </c>
      <c r="AV25" s="9">
        <f t="shared" si="4"/>
        <v>33482944.864211466</v>
      </c>
    </row>
    <row r="26" spans="1:48" x14ac:dyDescent="0.35">
      <c r="A26" s="4" t="str">
        <f>[1]BASE!H159</f>
        <v>PETROLEO</v>
      </c>
      <c r="B26" s="4" t="str">
        <f>[1]BASE!I159</f>
        <v>YPF</v>
      </c>
      <c r="C26" s="4">
        <f>[1]BASE!J159</f>
        <v>0</v>
      </c>
      <c r="D26" s="4" t="str">
        <f>[1]BASE!K159</f>
        <v>FIJO</v>
      </c>
      <c r="E26" s="4" t="str">
        <f>[1]BASE!L159</f>
        <v>CHACHAUEN</v>
      </c>
      <c r="F26" s="4" t="str">
        <f>[1]BASE!M159</f>
        <v>VENTAS</v>
      </c>
      <c r="G26" s="4" t="str">
        <f>[1]BASE!N159</f>
        <v>ARS</v>
      </c>
      <c r="H26" s="4" t="str">
        <f>[1]BASE!CL159</f>
        <v xml:space="preserve">BAU </v>
      </c>
      <c r="I26" s="5">
        <v>1</v>
      </c>
      <c r="J26" s="8">
        <f>[1]BASE!AO159</f>
        <v>69188869.909999996</v>
      </c>
      <c r="K26" s="6">
        <f>[1]BASE!AP159</f>
        <v>89918058.120000005</v>
      </c>
      <c r="L26" s="6">
        <f>[1]BASE!AQ159</f>
        <v>76731570.889999986</v>
      </c>
      <c r="M26" s="6">
        <f>[1]BASE!AR159</f>
        <v>94974823.74000001</v>
      </c>
      <c r="N26" s="6">
        <f>[1]BASE!AS159</f>
        <v>98994448.38000001</v>
      </c>
      <c r="O26" s="6">
        <f>[1]BASE!AT159</f>
        <v>102200669.88000001</v>
      </c>
      <c r="P26" s="6">
        <f>[1]BASE!AU159</f>
        <v>115774505.3</v>
      </c>
      <c r="Q26" s="6">
        <f>[1]BASE!AV159</f>
        <v>111562561.45999999</v>
      </c>
      <c r="R26" s="6">
        <f>[1]BASE!AW159</f>
        <v>154270432.70999998</v>
      </c>
      <c r="S26" s="6">
        <f>[1]BASE!AX159</f>
        <v>126151406.54000002</v>
      </c>
      <c r="T26" s="6">
        <f>[1]BASE!AY159</f>
        <v>121627231.62</v>
      </c>
      <c r="U26" s="6">
        <f>[1]BASE!AZ159</f>
        <v>141393784.34999996</v>
      </c>
      <c r="V26" s="6">
        <f>[1]BASE!BA159</f>
        <v>131564910.02000003</v>
      </c>
      <c r="W26" s="6">
        <f>[1]BASE!BB159</f>
        <v>130155968.89</v>
      </c>
      <c r="X26" s="6">
        <f>[1]BASE!BC159</f>
        <v>141593979.43000001</v>
      </c>
      <c r="Y26" s="6">
        <f>[1]BASE!BD159</f>
        <v>141571997.22</v>
      </c>
      <c r="Z26" s="6">
        <f>[1]BASE!BE159</f>
        <v>134033144.25999999</v>
      </c>
      <c r="AA26" s="6">
        <f>[1]BASE!BF159</f>
        <v>167721621.88999999</v>
      </c>
      <c r="AB26" s="6">
        <f>[1]BASE!BG159</f>
        <v>65398712.909999996</v>
      </c>
      <c r="AC26" s="6">
        <f>[1]BASE!BH159</f>
        <v>72757780.209999993</v>
      </c>
      <c r="AD26" s="6">
        <f>[1]BASE!BI159</f>
        <v>92293833.410000011</v>
      </c>
      <c r="AE26" s="6">
        <f>[1]BASE!BJ159</f>
        <v>81744148.36999999</v>
      </c>
      <c r="AF26" s="6">
        <f>[1]BASE!BK159</f>
        <v>17718633.290000003</v>
      </c>
      <c r="AG26" s="6">
        <f>[1]BASE!BL159</f>
        <v>79158319.570000008</v>
      </c>
      <c r="AH26" s="6">
        <f>[1]BASE!BM159</f>
        <v>78197272.020000011</v>
      </c>
      <c r="AI26" s="6">
        <f>[1]BASE!BN159</f>
        <v>94507356.879999995</v>
      </c>
      <c r="AJ26" s="6">
        <f>[1]BASE!BO159</f>
        <v>84299401.190000013</v>
      </c>
      <c r="AK26" s="6">
        <f>[1]BASE!BP159</f>
        <v>96899460.50999999</v>
      </c>
      <c r="AL26" s="6">
        <f>[1]BASE!BQ159</f>
        <v>94016872.476834983</v>
      </c>
      <c r="AM26" s="6">
        <f>[1]BASE!BR159</f>
        <v>94287067.713817134</v>
      </c>
      <c r="AN26" s="6">
        <f>[1]BASE!BS159</f>
        <v>96797751.523935229</v>
      </c>
      <c r="AO26" s="6">
        <f>[1]BASE!BT159</f>
        <v>97062688.169434518</v>
      </c>
      <c r="AP26" s="6">
        <f>[1]BASE!BU159</f>
        <v>97301783.77177766</v>
      </c>
      <c r="AQ26" s="6">
        <f>[1]BASE!BV159</f>
        <v>99582858.92519626</v>
      </c>
      <c r="AR26" s="6">
        <f>[1]BASE!BW159</f>
        <v>99781554.814526349</v>
      </c>
      <c r="AS26" s="6">
        <f>[1]BASE!BX159</f>
        <v>100020465.62692837</v>
      </c>
      <c r="AT26" s="9">
        <f t="shared" si="2"/>
        <v>1302788362.8999996</v>
      </c>
      <c r="AU26" s="9">
        <f t="shared" si="3"/>
        <v>1255713049.4699998</v>
      </c>
      <c r="AV26" s="9">
        <f t="shared" si="4"/>
        <v>1132754533.6224506</v>
      </c>
    </row>
    <row r="27" spans="1:48" x14ac:dyDescent="0.35">
      <c r="A27" s="4" t="str">
        <f>[1]BASE!H168</f>
        <v>PETROLEO</v>
      </c>
      <c r="B27" s="4" t="str">
        <f>[1]BASE!I168</f>
        <v>YPF</v>
      </c>
      <c r="C27" s="4">
        <f>[1]BASE!J168</f>
        <v>0</v>
      </c>
      <c r="D27" s="4" t="str">
        <f>[1]BASE!K168</f>
        <v>FIJO</v>
      </c>
      <c r="E27" s="4" t="str">
        <f>[1]BASE!L168</f>
        <v>EL PORTON</v>
      </c>
      <c r="F27" s="4" t="str">
        <f>[1]BASE!M168</f>
        <v>VENTAS</v>
      </c>
      <c r="G27" s="4" t="str">
        <f>[1]BASE!N168</f>
        <v>ARS</v>
      </c>
      <c r="H27" s="4" t="str">
        <f>[1]BASE!CL168</f>
        <v xml:space="preserve">BAU </v>
      </c>
      <c r="I27" s="5">
        <v>1</v>
      </c>
      <c r="J27" s="8">
        <f>[1]BASE!AO168</f>
        <v>29941226.260000002</v>
      </c>
      <c r="K27" s="6">
        <f>[1]BASE!AP168</f>
        <v>35315447.350000001</v>
      </c>
      <c r="L27" s="6">
        <f>[1]BASE!AQ168</f>
        <v>37235462.579999991</v>
      </c>
      <c r="M27" s="6">
        <f>[1]BASE!AR168</f>
        <v>46066994.150999993</v>
      </c>
      <c r="N27" s="6">
        <f>[1]BASE!AS168</f>
        <v>46417650.909999996</v>
      </c>
      <c r="O27" s="6">
        <f>[1]BASE!AT168</f>
        <v>49722463.440000013</v>
      </c>
      <c r="P27" s="6">
        <f>[1]BASE!AU168</f>
        <v>56691792.780000009</v>
      </c>
      <c r="Q27" s="6">
        <f>[1]BASE!AV168</f>
        <v>54149580.609999992</v>
      </c>
      <c r="R27" s="6">
        <f>[1]BASE!AW168</f>
        <v>54181794.60999997</v>
      </c>
      <c r="S27" s="6">
        <f>[1]BASE!AX168</f>
        <v>61541579.549999982</v>
      </c>
      <c r="T27" s="6">
        <f>[1]BASE!AY168</f>
        <v>59271284.350000001</v>
      </c>
      <c r="U27" s="6">
        <f>[1]BASE!AZ168</f>
        <v>55171684.909999996</v>
      </c>
      <c r="V27" s="6">
        <f>[1]BASE!BA168</f>
        <v>63746411.780000001</v>
      </c>
      <c r="W27" s="6">
        <f>[1]BASE!BB168</f>
        <v>63187588.960000008</v>
      </c>
      <c r="X27" s="6">
        <f>[1]BASE!BC168</f>
        <v>68970801</v>
      </c>
      <c r="Y27" s="6">
        <f>[1]BASE!BD168</f>
        <v>68578860.929999992</v>
      </c>
      <c r="Z27" s="6">
        <f>[1]BASE!BE168</f>
        <v>65115326.280000001</v>
      </c>
      <c r="AA27" s="6">
        <f>[1]BASE!BF168</f>
        <v>81732108.88000001</v>
      </c>
      <c r="AB27" s="6">
        <f>[1]BASE!BG168</f>
        <v>11512896.470000006</v>
      </c>
      <c r="AC27" s="6">
        <f>[1]BASE!BH168</f>
        <v>0</v>
      </c>
      <c r="AD27" s="6">
        <f>[1]BASE!BI168</f>
        <v>4652201.41</v>
      </c>
      <c r="AE27" s="6">
        <f>[1]BASE!BJ168</f>
        <v>250760.00999999791</v>
      </c>
      <c r="AF27" s="6">
        <f>[1]BASE!BK168</f>
        <v>102268347.78999999</v>
      </c>
      <c r="AG27" s="6">
        <f>[1]BASE!BL168</f>
        <v>0</v>
      </c>
      <c r="AH27" s="6">
        <f>[1]BASE!BM168</f>
        <v>0</v>
      </c>
      <c r="AI27" s="6">
        <f>[1]BASE!BN168</f>
        <v>0</v>
      </c>
      <c r="AJ27" s="6">
        <f>[1]BASE!BO168</f>
        <v>0</v>
      </c>
      <c r="AK27" s="6">
        <f>[1]BASE!BP168</f>
        <v>0</v>
      </c>
      <c r="AL27" s="6">
        <f>[1]BASE!BQ168</f>
        <v>0</v>
      </c>
      <c r="AM27" s="6">
        <f>[1]BASE!BR168</f>
        <v>0</v>
      </c>
      <c r="AN27" s="6">
        <f>[1]BASE!BS168</f>
        <v>0</v>
      </c>
      <c r="AO27" s="6">
        <f>[1]BASE!BT168</f>
        <v>0</v>
      </c>
      <c r="AP27" s="6">
        <f>[1]BASE!BU168</f>
        <v>0</v>
      </c>
      <c r="AQ27" s="6">
        <f>[1]BASE!BV168</f>
        <v>0</v>
      </c>
      <c r="AR27" s="6">
        <f>[1]BASE!BW168</f>
        <v>0</v>
      </c>
      <c r="AS27" s="6">
        <f>[1]BASE!BX168</f>
        <v>0</v>
      </c>
      <c r="AT27" s="9">
        <f t="shared" si="2"/>
        <v>585706961.50099993</v>
      </c>
      <c r="AU27" s="9">
        <f t="shared" si="3"/>
        <v>530015303.51000011</v>
      </c>
      <c r="AV27" s="9">
        <f t="shared" si="4"/>
        <v>0</v>
      </c>
    </row>
    <row r="28" spans="1:48" x14ac:dyDescent="0.35">
      <c r="A28" s="4" t="str">
        <f>[1]BASE!H177</f>
        <v>PETROLEO</v>
      </c>
      <c r="B28" s="4" t="str">
        <f>[1]BASE!I177</f>
        <v>YPF</v>
      </c>
      <c r="C28" s="4">
        <f>[1]BASE!J177</f>
        <v>0</v>
      </c>
      <c r="D28" s="4" t="str">
        <f>[1]BASE!K177</f>
        <v>FIJO</v>
      </c>
      <c r="E28" s="4" t="str">
        <f>[1]BASE!L177</f>
        <v>YPF - Puesto Molina</v>
      </c>
      <c r="F28" s="4" t="str">
        <f>[1]BASE!M177</f>
        <v>VENTAS</v>
      </c>
      <c r="G28" s="4" t="str">
        <f>[1]BASE!N177</f>
        <v>ARS</v>
      </c>
      <c r="H28" s="4" t="str">
        <f>[1]BASE!CL177</f>
        <v xml:space="preserve">BAU </v>
      </c>
      <c r="I28" s="5">
        <v>1</v>
      </c>
      <c r="J28" s="8">
        <f>[1]BASE!AO177</f>
        <v>42582094.780000001</v>
      </c>
      <c r="K28" s="6">
        <f>[1]BASE!AP177</f>
        <v>19486590.48</v>
      </c>
      <c r="L28" s="6">
        <f>[1]BASE!AQ177</f>
        <v>38448474.449999996</v>
      </c>
      <c r="M28" s="6">
        <f>[1]BASE!AR177</f>
        <v>51656434.499999993</v>
      </c>
      <c r="N28" s="6">
        <f>[1]BASE!AS177</f>
        <v>43608138.320000008</v>
      </c>
      <c r="O28" s="6">
        <f>[1]BASE!AT177</f>
        <v>51362299.480000004</v>
      </c>
      <c r="P28" s="6">
        <f>[1]BASE!AU177</f>
        <v>58026012.230000019</v>
      </c>
      <c r="Q28" s="6">
        <f>[1]BASE!AV177</f>
        <v>56333641.43</v>
      </c>
      <c r="R28" s="6">
        <f>[1]BASE!AW177</f>
        <v>55877086.089999996</v>
      </c>
      <c r="S28" s="6">
        <f>[1]BASE!AX177</f>
        <v>64077885.839999989</v>
      </c>
      <c r="T28" s="6">
        <f>[1]BASE!AY177</f>
        <v>60913887.080000006</v>
      </c>
      <c r="U28" s="6">
        <f>[1]BASE!AZ177</f>
        <v>57108335.019999981</v>
      </c>
      <c r="V28" s="6">
        <f>[1]BASE!BA177</f>
        <v>65871787.349999994</v>
      </c>
      <c r="W28" s="6">
        <f>[1]BASE!BB177</f>
        <v>65269097.999999993</v>
      </c>
      <c r="X28" s="6">
        <f>[1]BASE!BC177</f>
        <v>70886054.11999999</v>
      </c>
      <c r="Y28" s="6">
        <f>[1]BASE!BD177</f>
        <v>70693218.25999999</v>
      </c>
      <c r="Z28" s="6">
        <f>[1]BASE!BE177</f>
        <v>67197903.989999995</v>
      </c>
      <c r="AA28" s="6">
        <f>[1]BASE!BF177</f>
        <v>83844577.039999992</v>
      </c>
      <c r="AB28" s="6">
        <f>[1]BASE!BG177</f>
        <v>69028108.059999987</v>
      </c>
      <c r="AC28" s="6">
        <f>[1]BASE!BH177</f>
        <v>72965592.209999993</v>
      </c>
      <c r="AD28" s="6">
        <f>[1]BASE!BI177</f>
        <v>87898296.49000001</v>
      </c>
      <c r="AE28" s="6">
        <f>[1]BASE!BJ177</f>
        <v>81269048.800000012</v>
      </c>
      <c r="AF28" s="6">
        <f>[1]BASE!BK177</f>
        <v>40228348.349999994</v>
      </c>
      <c r="AG28" s="6">
        <f>[1]BASE!BL177</f>
        <v>79238624.929999992</v>
      </c>
      <c r="AH28" s="6">
        <f>[1]BASE!BM177</f>
        <v>78192272.719999999</v>
      </c>
      <c r="AI28" s="6">
        <f>[1]BASE!BN177</f>
        <v>93240125.030000016</v>
      </c>
      <c r="AJ28" s="6">
        <f>[1]BASE!BO177</f>
        <v>86868040.209999993</v>
      </c>
      <c r="AK28" s="6">
        <f>[1]BASE!BP177</f>
        <v>96901496.229999989</v>
      </c>
      <c r="AL28" s="6">
        <f>[1]BASE!BQ177</f>
        <v>101566748.70777638</v>
      </c>
      <c r="AM28" s="6">
        <f>[1]BASE!BR177</f>
        <v>101858641.54587696</v>
      </c>
      <c r="AN28" s="6">
        <f>[1]BASE!BS177</f>
        <v>104570941.8480358</v>
      </c>
      <c r="AO28" s="6">
        <f>[1]BASE!BT177</f>
        <v>104857153.81178239</v>
      </c>
      <c r="AP28" s="6">
        <f>[1]BASE!BU177</f>
        <v>105115449.60827684</v>
      </c>
      <c r="AQ28" s="6">
        <f>[1]BASE!BV177</f>
        <v>107579702.89374861</v>
      </c>
      <c r="AR28" s="6">
        <f>[1]BASE!BW177</f>
        <v>107794354.74217965</v>
      </c>
      <c r="AS28" s="6">
        <f>[1]BASE!BX177</f>
        <v>108052450.90946904</v>
      </c>
      <c r="AT28" s="9">
        <f t="shared" si="2"/>
        <v>599480879.70000005</v>
      </c>
      <c r="AU28" s="9">
        <f t="shared" si="3"/>
        <v>854390657.5999999</v>
      </c>
      <c r="AV28" s="9">
        <f t="shared" si="4"/>
        <v>1196597378.2571456</v>
      </c>
    </row>
    <row r="29" spans="1:48" x14ac:dyDescent="0.35">
      <c r="A29" s="4" t="str">
        <f>[1]BASE!H186</f>
        <v>PETROLEO</v>
      </c>
      <c r="B29" s="4" t="str">
        <f>[1]BASE!I186</f>
        <v>YPF</v>
      </c>
      <c r="C29" s="4">
        <f>[1]BASE!J186</f>
        <v>0</v>
      </c>
      <c r="D29" s="4" t="str">
        <f>[1]BASE!K186</f>
        <v>FIJO</v>
      </c>
      <c r="E29" s="4" t="str">
        <f>[1]BASE!L186</f>
        <v>AJUSTE TARIFARIO C505274</v>
      </c>
      <c r="F29" s="4" t="str">
        <f>[1]BASE!M186</f>
        <v>VENTAS</v>
      </c>
      <c r="G29" s="4" t="str">
        <f>[1]BASE!N186</f>
        <v>ARS</v>
      </c>
      <c r="H29" s="4" t="str">
        <f>[1]BASE!CL186</f>
        <v xml:space="preserve">BAU </v>
      </c>
      <c r="I29" s="5">
        <v>1</v>
      </c>
      <c r="J29" s="8">
        <f>[1]BASE!AO186</f>
        <v>49192952.609999999</v>
      </c>
      <c r="K29" s="6">
        <f>[1]BASE!AP186</f>
        <v>47935789.780000016</v>
      </c>
      <c r="L29" s="6">
        <f>[1]BASE!AQ186</f>
        <v>29192388.849999998</v>
      </c>
      <c r="M29" s="6">
        <f>[1]BASE!AR186</f>
        <v>1413407.01</v>
      </c>
      <c r="N29" s="6">
        <f>[1]BASE!AS186</f>
        <v>18265646.600000001</v>
      </c>
      <c r="O29" s="6">
        <f>[1]BASE!AT186</f>
        <v>39653478.75</v>
      </c>
      <c r="P29" s="6">
        <f>[1]BASE!AU186</f>
        <v>76528382.290000007</v>
      </c>
      <c r="Q29" s="6">
        <f>[1]BASE!AV186</f>
        <v>87690361</v>
      </c>
      <c r="R29" s="6">
        <f>[1]BASE!AW186</f>
        <v>231429475.75</v>
      </c>
      <c r="S29" s="6">
        <f>[1]BASE!AX186</f>
        <v>45323440</v>
      </c>
      <c r="T29" s="6">
        <f>[1]BASE!AY186</f>
        <v>112861753.29000001</v>
      </c>
      <c r="U29" s="6">
        <f>[1]BASE!AZ186</f>
        <v>179114347.21000001</v>
      </c>
      <c r="V29" s="6">
        <f>[1]BASE!BA186</f>
        <v>34154067.409999996</v>
      </c>
      <c r="W29" s="6">
        <f>[1]BASE!BB186</f>
        <v>152186393.50999999</v>
      </c>
      <c r="X29" s="6">
        <f>[1]BASE!BC186</f>
        <v>69592805.519999996</v>
      </c>
      <c r="Y29" s="6">
        <f>[1]BASE!BD186</f>
        <v>-12298.84</v>
      </c>
      <c r="Z29" s="6">
        <f>[1]BASE!BE186</f>
        <v>9608764.0999999996</v>
      </c>
      <c r="AA29" s="6">
        <f>[1]BASE!BF186</f>
        <v>148254667.92000002</v>
      </c>
      <c r="AB29" s="6">
        <f>[1]BASE!BG186</f>
        <v>79333692.310000002</v>
      </c>
      <c r="AC29" s="6">
        <f>[1]BASE!BH186</f>
        <v>22876381</v>
      </c>
      <c r="AD29" s="6">
        <f>[1]BASE!BI186</f>
        <v>14117099.02</v>
      </c>
      <c r="AE29" s="6">
        <f>[1]BASE!BJ186</f>
        <v>1259484778.3199999</v>
      </c>
      <c r="AF29" s="6">
        <f>[1]BASE!BK186</f>
        <v>203395347.36999997</v>
      </c>
      <c r="AG29" s="6">
        <f>[1]BASE!BL186</f>
        <v>101288274.54999998</v>
      </c>
      <c r="AH29" s="6">
        <f>[1]BASE!BM186</f>
        <v>140772067.16000003</v>
      </c>
      <c r="AI29" s="6">
        <f>[1]BASE!BN186</f>
        <v>181408737.06</v>
      </c>
      <c r="AJ29" s="6">
        <f>[1]BASE!BO186</f>
        <v>116799666.31999999</v>
      </c>
      <c r="AK29" s="6">
        <f>[1]BASE!BP186</f>
        <v>8959351</v>
      </c>
      <c r="AL29" s="6">
        <f>[1]BASE!BQ186</f>
        <v>15120000</v>
      </c>
      <c r="AM29" s="6">
        <f>[1]BASE!BR186</f>
        <v>15120000</v>
      </c>
      <c r="AN29" s="6">
        <f>[1]BASE!BS186</f>
        <v>15120000</v>
      </c>
      <c r="AO29" s="6">
        <f>[1]BASE!BT186</f>
        <v>15120000</v>
      </c>
      <c r="AP29" s="6">
        <f>[1]BASE!BU186</f>
        <v>15120000</v>
      </c>
      <c r="AQ29" s="6">
        <f>[1]BASE!BV186</f>
        <v>15120000</v>
      </c>
      <c r="AR29" s="6">
        <f>[1]BASE!BW186</f>
        <v>15120000</v>
      </c>
      <c r="AS29" s="6">
        <f>[1]BASE!BX186</f>
        <v>15120000</v>
      </c>
      <c r="AT29" s="9">
        <f t="shared" si="2"/>
        <v>918601423.1400001</v>
      </c>
      <c r="AU29" s="9">
        <f t="shared" si="3"/>
        <v>2094279972.1899998</v>
      </c>
      <c r="AV29" s="9">
        <f t="shared" si="4"/>
        <v>568899821.53999996</v>
      </c>
    </row>
    <row r="30" spans="1:48" x14ac:dyDescent="0.35">
      <c r="A30" s="4" t="str">
        <f>[1]BASE!H195</f>
        <v>PETROLEO</v>
      </c>
      <c r="B30" s="4" t="str">
        <f>[1]BASE!I195</f>
        <v>CAPEX</v>
      </c>
      <c r="C30" s="4">
        <f>[1]BASE!J195</f>
        <v>0</v>
      </c>
      <c r="D30" s="4" t="str">
        <f>[1]BASE!K195</f>
        <v>FIJO</v>
      </c>
      <c r="E30" s="4" t="str">
        <f>[1]BASE!L195</f>
        <v>CAPEX - Aguada del Cajon SRL</v>
      </c>
      <c r="F30" s="4" t="str">
        <f>[1]BASE!M195</f>
        <v>VENTAS</v>
      </c>
      <c r="G30" s="4" t="str">
        <f>[1]BASE!N195</f>
        <v>ARS</v>
      </c>
      <c r="H30" s="4" t="str">
        <f>[1]BASE!CL195</f>
        <v xml:space="preserve">BAU </v>
      </c>
      <c r="I30" s="5">
        <v>1</v>
      </c>
      <c r="J30" s="8">
        <f>[1]BASE!AO195</f>
        <v>12830328</v>
      </c>
      <c r="K30" s="6">
        <f>[1]BASE!AP195</f>
        <v>15131620.790000001</v>
      </c>
      <c r="L30" s="6">
        <f>[1]BASE!AQ195</f>
        <v>15181414.390000001</v>
      </c>
      <c r="M30" s="6">
        <f>[1]BASE!AR195</f>
        <v>18943315.420000002</v>
      </c>
      <c r="N30" s="6">
        <f>[1]BASE!AS195</f>
        <v>18942863.32</v>
      </c>
      <c r="O30" s="6">
        <f>[1]BASE!AT195</f>
        <v>20610326.710000001</v>
      </c>
      <c r="P30" s="6">
        <f>[1]BASE!AU195</f>
        <v>24134329.84</v>
      </c>
      <c r="Q30" s="6">
        <f>[1]BASE!AV195</f>
        <v>22467318.32</v>
      </c>
      <c r="R30" s="6">
        <f>[1]BASE!AW195</f>
        <v>22467317.66</v>
      </c>
      <c r="S30" s="6">
        <f>[1]BASE!AX195</f>
        <v>24472434.580000002</v>
      </c>
      <c r="T30" s="6">
        <f>[1]BASE!AY195</f>
        <v>26464055.700000003</v>
      </c>
      <c r="U30" s="6">
        <f>[1]BASE!AZ195</f>
        <v>24740704.429999996</v>
      </c>
      <c r="V30" s="6">
        <f>[1]BASE!BA195</f>
        <v>22993996.279999997</v>
      </c>
      <c r="W30" s="6">
        <f>[1]BASE!BB195</f>
        <v>24069026.550000001</v>
      </c>
      <c r="X30" s="6">
        <f>[1]BASE!BC195</f>
        <v>28451810.789999999</v>
      </c>
      <c r="Y30" s="6">
        <f>[1]BASE!BD195</f>
        <v>25977739.649999999</v>
      </c>
      <c r="Z30" s="6">
        <f>[1]BASE!BE195</f>
        <v>25977740</v>
      </c>
      <c r="AA30" s="6">
        <f>[1]BASE!BF195</f>
        <v>35693332.439999998</v>
      </c>
      <c r="AB30" s="6">
        <f>[1]BASE!BG195</f>
        <v>29728945.087414265</v>
      </c>
      <c r="AC30" s="6">
        <f>[1]BASE!BH195</f>
        <v>28885307.455452327</v>
      </c>
      <c r="AD30" s="6">
        <f>[1]BASE!BI195</f>
        <v>28804304.220763315</v>
      </c>
      <c r="AE30" s="6">
        <f>[1]BASE!BJ195</f>
        <v>31362097.289929438</v>
      </c>
      <c r="AF30" s="6">
        <f>[1]BASE!BK195</f>
        <v>31373612.397005975</v>
      </c>
      <c r="AG30" s="6">
        <f>[1]BASE!BL195</f>
        <v>31373612.397006929</v>
      </c>
      <c r="AH30" s="6">
        <f>[1]BASE!BM195</f>
        <v>33991484.648597643</v>
      </c>
      <c r="AI30" s="6">
        <f>[1]BASE!BN195</f>
        <v>34457037.633227251</v>
      </c>
      <c r="AJ30" s="6">
        <f>[1]BASE!BO195</f>
        <v>36677037.633227244</v>
      </c>
      <c r="AK30" s="6">
        <f>[1]BASE!BP195</f>
        <v>40348098.444303215</v>
      </c>
      <c r="AL30" s="6">
        <f>[1]BASE!BQ195</f>
        <v>37488098.43506033</v>
      </c>
      <c r="AM30" s="6">
        <f>[1]BASE!BR195</f>
        <v>37488098.43506033</v>
      </c>
      <c r="AN30" s="6">
        <f>[1]BASE!BS195</f>
        <v>38478439.93252591</v>
      </c>
      <c r="AO30" s="6">
        <f>[1]BASE!BT195</f>
        <v>38478439.93252591</v>
      </c>
      <c r="AP30" s="6">
        <f>[1]BASE!BU195</f>
        <v>38478439.93252591</v>
      </c>
      <c r="AQ30" s="6">
        <f>[1]BASE!BV195</f>
        <v>39392002.519017555</v>
      </c>
      <c r="AR30" s="6">
        <f>[1]BASE!BW195</f>
        <v>39392002.519017555</v>
      </c>
      <c r="AS30" s="6">
        <f>[1]BASE!BX195</f>
        <v>39392002.519017555</v>
      </c>
      <c r="AT30" s="9">
        <f t="shared" si="2"/>
        <v>246386029.16000003</v>
      </c>
      <c r="AU30" s="9">
        <f t="shared" si="3"/>
        <v>344691524.55757225</v>
      </c>
      <c r="AV30" s="9">
        <f t="shared" si="4"/>
        <v>454061182.58410645</v>
      </c>
    </row>
    <row r="31" spans="1:48" x14ac:dyDescent="0.35">
      <c r="A31" s="4" t="str">
        <f>[1]BASE!H204</f>
        <v>PETROLEO</v>
      </c>
      <c r="B31" s="4" t="str">
        <f>[1]BASE!I204</f>
        <v>Total</v>
      </c>
      <c r="C31" s="4">
        <f>[1]BASE!J204</f>
        <v>0</v>
      </c>
      <c r="D31" s="4" t="str">
        <f>[1]BASE!K204</f>
        <v>EVENTUAL</v>
      </c>
      <c r="E31" s="4" t="str">
        <f>[1]BASE!L204</f>
        <v>TOTAL - Total Austral</v>
      </c>
      <c r="F31" s="4" t="str">
        <f>[1]BASE!M204</f>
        <v>VENTAS</v>
      </c>
      <c r="G31" s="4" t="str">
        <f>[1]BASE!N204</f>
        <v>ARS</v>
      </c>
      <c r="H31" s="4" t="str">
        <f>[1]BASE!CL204</f>
        <v xml:space="preserve">BAU </v>
      </c>
      <c r="I31" s="5">
        <v>1</v>
      </c>
      <c r="J31" s="8">
        <f>[1]BASE!AO204</f>
        <v>0</v>
      </c>
      <c r="K31" s="6">
        <f>[1]BASE!AP204</f>
        <v>0</v>
      </c>
      <c r="L31" s="6">
        <f>[1]BASE!AQ204</f>
        <v>0</v>
      </c>
      <c r="M31" s="6">
        <f>[1]BASE!AR204</f>
        <v>0</v>
      </c>
      <c r="N31" s="6">
        <f>[1]BASE!AS204</f>
        <v>0</v>
      </c>
      <c r="O31" s="6">
        <f>[1]BASE!AT204</f>
        <v>0</v>
      </c>
      <c r="P31" s="6">
        <f>[1]BASE!AU204</f>
        <v>0</v>
      </c>
      <c r="Q31" s="6">
        <f>[1]BASE!AV204</f>
        <v>0</v>
      </c>
      <c r="R31" s="6">
        <f>[1]BASE!AW204</f>
        <v>0</v>
      </c>
      <c r="S31" s="6">
        <f>[1]BASE!AX204</f>
        <v>0</v>
      </c>
      <c r="T31" s="6">
        <f>[1]BASE!AY204</f>
        <v>0</v>
      </c>
      <c r="U31" s="6">
        <f>[1]BASE!AZ204</f>
        <v>0</v>
      </c>
      <c r="V31" s="6">
        <f>[1]BASE!BA204</f>
        <v>0</v>
      </c>
      <c r="W31" s="6">
        <f>[1]BASE!BB204</f>
        <v>0</v>
      </c>
      <c r="X31" s="6">
        <f>[1]BASE!BC204</f>
        <v>0</v>
      </c>
      <c r="Y31" s="6">
        <f>[1]BASE!BD204</f>
        <v>0</v>
      </c>
      <c r="Z31" s="6">
        <f>[1]BASE!BE204</f>
        <v>0</v>
      </c>
      <c r="AA31" s="6">
        <f>[1]BASE!BF204</f>
        <v>0</v>
      </c>
      <c r="AB31" s="6">
        <f>[1]BASE!BG204</f>
        <v>0</v>
      </c>
      <c r="AC31" s="6">
        <f>[1]BASE!BH204</f>
        <v>0</v>
      </c>
      <c r="AD31" s="6">
        <f>[1]BASE!BI204</f>
        <v>0</v>
      </c>
      <c r="AE31" s="6">
        <f>[1]BASE!BJ204</f>
        <v>0</v>
      </c>
      <c r="AF31" s="6">
        <f>[1]BASE!BK204</f>
        <v>0</v>
      </c>
      <c r="AG31" s="6">
        <f>[1]BASE!BL204</f>
        <v>0</v>
      </c>
      <c r="AH31" s="6">
        <f>[1]BASE!BM204</f>
        <v>0</v>
      </c>
      <c r="AI31" s="6">
        <f>[1]BASE!BN204</f>
        <v>0</v>
      </c>
      <c r="AJ31" s="6">
        <f>[1]BASE!BO204</f>
        <v>0</v>
      </c>
      <c r="AK31" s="6">
        <f>[1]BASE!BP204</f>
        <v>0</v>
      </c>
      <c r="AL31" s="6">
        <f>[1]BASE!BQ204</f>
        <v>0</v>
      </c>
      <c r="AM31" s="6">
        <f>[1]BASE!BR204</f>
        <v>0</v>
      </c>
      <c r="AN31" s="6">
        <f>[1]BASE!BS204</f>
        <v>0</v>
      </c>
      <c r="AO31" s="6">
        <f>[1]BASE!BT204</f>
        <v>0</v>
      </c>
      <c r="AP31" s="6">
        <f>[1]BASE!BU204</f>
        <v>0</v>
      </c>
      <c r="AQ31" s="6">
        <f>[1]BASE!BV204</f>
        <v>0</v>
      </c>
      <c r="AR31" s="6">
        <f>[1]BASE!BW204</f>
        <v>0</v>
      </c>
      <c r="AS31" s="6">
        <f>[1]BASE!BX204</f>
        <v>0</v>
      </c>
      <c r="AT31" s="9">
        <f t="shared" si="2"/>
        <v>0</v>
      </c>
      <c r="AU31" s="9">
        <f t="shared" si="3"/>
        <v>0</v>
      </c>
      <c r="AV31" s="9">
        <f t="shared" si="4"/>
        <v>0</v>
      </c>
    </row>
    <row r="32" spans="1:48" x14ac:dyDescent="0.35">
      <c r="A32" s="4" t="str">
        <f>[1]BASE!H213</f>
        <v>PETROLEO</v>
      </c>
      <c r="B32" s="4" t="str">
        <f>[1]BASE!I213</f>
        <v>YPF</v>
      </c>
      <c r="C32" s="4">
        <f>[1]BASE!J213</f>
        <v>0</v>
      </c>
      <c r="D32" s="4" t="str">
        <f>[1]BASE!K213</f>
        <v>EVENTUAL</v>
      </c>
      <c r="E32" s="4" t="str">
        <f>[1]BASE!L213</f>
        <v>YPF - Eventuales Z2 N</v>
      </c>
      <c r="F32" s="4" t="str">
        <f>[1]BASE!M213</f>
        <v>VENTAS</v>
      </c>
      <c r="G32" s="4" t="str">
        <f>[1]BASE!N213</f>
        <v>ARS</v>
      </c>
      <c r="H32" s="4" t="str">
        <f>[1]BASE!CL213</f>
        <v xml:space="preserve">BAU </v>
      </c>
      <c r="I32" s="5">
        <v>1</v>
      </c>
      <c r="J32" s="8">
        <f>[1]BASE!AO213</f>
        <v>0</v>
      </c>
      <c r="K32" s="6">
        <f>[1]BASE!AP213</f>
        <v>0</v>
      </c>
      <c r="L32" s="6">
        <f>[1]BASE!AQ213</f>
        <v>0</v>
      </c>
      <c r="M32" s="6">
        <f>[1]BASE!AR213</f>
        <v>0</v>
      </c>
      <c r="N32" s="6">
        <f>[1]BASE!AS213</f>
        <v>0</v>
      </c>
      <c r="O32" s="6">
        <f>[1]BASE!AT213</f>
        <v>0</v>
      </c>
      <c r="P32" s="6">
        <f>[1]BASE!AU213</f>
        <v>0</v>
      </c>
      <c r="Q32" s="6">
        <f>[1]BASE!AV213</f>
        <v>0</v>
      </c>
      <c r="R32" s="6">
        <f>[1]BASE!AW213</f>
        <v>0</v>
      </c>
      <c r="S32" s="6">
        <f>[1]BASE!AX213</f>
        <v>0</v>
      </c>
      <c r="T32" s="6">
        <f>[1]BASE!AY213</f>
        <v>0</v>
      </c>
      <c r="U32" s="6">
        <f>[1]BASE!AZ213</f>
        <v>0</v>
      </c>
      <c r="V32" s="6">
        <f>[1]BASE!BA213</f>
        <v>0</v>
      </c>
      <c r="W32" s="6">
        <f>[1]BASE!BB213</f>
        <v>0</v>
      </c>
      <c r="X32" s="6">
        <f>[1]BASE!BC213</f>
        <v>0</v>
      </c>
      <c r="Y32" s="6">
        <f>[1]BASE!BD213</f>
        <v>0</v>
      </c>
      <c r="Z32" s="6">
        <f>[1]BASE!BE213</f>
        <v>0</v>
      </c>
      <c r="AA32" s="6">
        <f>[1]BASE!BF213</f>
        <v>0</v>
      </c>
      <c r="AB32" s="6">
        <f>[1]BASE!BG213</f>
        <v>0</v>
      </c>
      <c r="AC32" s="6">
        <f>[1]BASE!BH213</f>
        <v>0</v>
      </c>
      <c r="AD32" s="6">
        <f>[1]BASE!BI213</f>
        <v>0</v>
      </c>
      <c r="AE32" s="6">
        <f>[1]BASE!BJ213</f>
        <v>0</v>
      </c>
      <c r="AF32" s="6">
        <f>[1]BASE!BK213</f>
        <v>0</v>
      </c>
      <c r="AG32" s="6">
        <f>[1]BASE!BL213</f>
        <v>0</v>
      </c>
      <c r="AH32" s="6">
        <f>[1]BASE!BM213</f>
        <v>0</v>
      </c>
      <c r="AI32" s="6">
        <f>[1]BASE!BN213</f>
        <v>0</v>
      </c>
      <c r="AJ32" s="6">
        <f>[1]BASE!BO213</f>
        <v>0</v>
      </c>
      <c r="AK32" s="6">
        <f>[1]BASE!BP213</f>
        <v>0</v>
      </c>
      <c r="AL32" s="6">
        <f>[1]BASE!BQ213</f>
        <v>0</v>
      </c>
      <c r="AM32" s="6">
        <f>[1]BASE!BR213</f>
        <v>0</v>
      </c>
      <c r="AN32" s="6">
        <f>[1]BASE!BS213</f>
        <v>0</v>
      </c>
      <c r="AO32" s="6">
        <f>[1]BASE!BT213</f>
        <v>0</v>
      </c>
      <c r="AP32" s="6">
        <f>[1]BASE!BU213</f>
        <v>0</v>
      </c>
      <c r="AQ32" s="6">
        <f>[1]BASE!BV213</f>
        <v>0</v>
      </c>
      <c r="AR32" s="6">
        <f>[1]BASE!BW213</f>
        <v>0</v>
      </c>
      <c r="AS32" s="6">
        <f>[1]BASE!BX213</f>
        <v>0</v>
      </c>
      <c r="AT32" s="9">
        <f t="shared" si="2"/>
        <v>0</v>
      </c>
      <c r="AU32" s="9">
        <f t="shared" si="3"/>
        <v>0</v>
      </c>
      <c r="AV32" s="9">
        <f t="shared" si="4"/>
        <v>0</v>
      </c>
    </row>
    <row r="33" spans="1:48" x14ac:dyDescent="0.35">
      <c r="A33" s="4" t="str">
        <f>[1]BASE!H222</f>
        <v>PETROLEO</v>
      </c>
      <c r="B33" s="4" t="str">
        <f>[1]BASE!I222</f>
        <v>YPF</v>
      </c>
      <c r="C33" s="4">
        <f>[1]BASE!J222</f>
        <v>0</v>
      </c>
      <c r="D33" s="4" t="str">
        <f>[1]BASE!K222</f>
        <v>EVENTUAL</v>
      </c>
      <c r="E33" s="4" t="str">
        <f>[1]BASE!L222</f>
        <v>YPF - Eventuales Z3 N</v>
      </c>
      <c r="F33" s="4" t="str">
        <f>[1]BASE!M222</f>
        <v>VENTAS</v>
      </c>
      <c r="G33" s="4" t="str">
        <f>[1]BASE!N222</f>
        <v>ARS</v>
      </c>
      <c r="H33" s="4" t="str">
        <f>[1]BASE!CL222</f>
        <v xml:space="preserve">BAU </v>
      </c>
      <c r="I33" s="5">
        <v>1</v>
      </c>
      <c r="J33" s="8">
        <f>[1]BASE!AO222</f>
        <v>236919324.04000002</v>
      </c>
      <c r="K33" s="6">
        <f>[1]BASE!AP222</f>
        <v>123074010.42800008</v>
      </c>
      <c r="L33" s="6">
        <f>[1]BASE!AQ222</f>
        <v>202899763.43600005</v>
      </c>
      <c r="M33" s="6">
        <f>[1]BASE!AR222</f>
        <v>220483136.80099991</v>
      </c>
      <c r="N33" s="6">
        <f>[1]BASE!AS222</f>
        <v>250454391.97199985</v>
      </c>
      <c r="O33" s="6">
        <f>[1]BASE!AT222</f>
        <v>114616328.47400004</v>
      </c>
      <c r="P33" s="6">
        <f>[1]BASE!AU222</f>
        <v>398033280.64100009</v>
      </c>
      <c r="Q33" s="6">
        <f>[1]BASE!AV222</f>
        <v>50062592.552999884</v>
      </c>
      <c r="R33" s="6">
        <f>[1]BASE!AW222</f>
        <v>294820641.06400013</v>
      </c>
      <c r="S33" s="6">
        <f>[1]BASE!AX222</f>
        <v>217300172.50700015</v>
      </c>
      <c r="T33" s="6">
        <f>[1]BASE!AY222</f>
        <v>373708046.25700009</v>
      </c>
      <c r="U33" s="6">
        <f>[1]BASE!AZ222</f>
        <v>436560856.28600013</v>
      </c>
      <c r="V33" s="6">
        <f>[1]BASE!BA222</f>
        <v>35219173.250000194</v>
      </c>
      <c r="W33" s="6">
        <f>[1]BASE!BB222</f>
        <v>-65166635.060000032</v>
      </c>
      <c r="X33" s="6">
        <f>[1]BASE!BC222</f>
        <v>201908663.653</v>
      </c>
      <c r="Y33" s="6">
        <f>[1]BASE!BD222</f>
        <v>426013694.09300029</v>
      </c>
      <c r="Z33" s="6">
        <f>[1]BASE!BE222</f>
        <v>379303436.05199909</v>
      </c>
      <c r="AA33" s="6">
        <f>[1]BASE!BF222</f>
        <v>76834347.037999868</v>
      </c>
      <c r="AB33" s="6">
        <f>[1]BASE!BG222</f>
        <v>-396997308.34100008</v>
      </c>
      <c r="AC33" s="6">
        <f>[1]BASE!BH222</f>
        <v>242781162.53999937</v>
      </c>
      <c r="AD33" s="6">
        <f>[1]BASE!BI222</f>
        <v>182668527.90799963</v>
      </c>
      <c r="AE33" s="6">
        <f>[1]BASE!BJ222</f>
        <v>-51093295.414000109</v>
      </c>
      <c r="AF33" s="6">
        <f>[1]BASE!BK222</f>
        <v>-4256711.5300002843</v>
      </c>
      <c r="AG33" s="6">
        <f>[1]BASE!BL222</f>
        <v>-213297554.58500034</v>
      </c>
      <c r="AH33" s="6">
        <f>[1]BASE!BM222</f>
        <v>-116140968.0590001</v>
      </c>
      <c r="AI33" s="6">
        <f>[1]BASE!BN222</f>
        <v>-140301320.99099997</v>
      </c>
      <c r="AJ33" s="6">
        <f>[1]BASE!BO222</f>
        <v>80124785.130999997</v>
      </c>
      <c r="AK33" s="6">
        <f>[1]BASE!BP222</f>
        <v>137281251.84999999</v>
      </c>
      <c r="AL33" s="6">
        <f>[1]BASE!BQ222</f>
        <v>707379911.82176661</v>
      </c>
      <c r="AM33" s="6">
        <f>[1]BASE!BR222</f>
        <v>708002280.8721118</v>
      </c>
      <c r="AN33" s="6">
        <f>[1]BASE!BS222</f>
        <v>726829122.01602685</v>
      </c>
      <c r="AO33" s="6">
        <f>[1]BASE!BT222</f>
        <v>607036320.36529601</v>
      </c>
      <c r="AP33" s="6">
        <f>[1]BASE!BU222</f>
        <v>607493559.33620179</v>
      </c>
      <c r="AQ33" s="6">
        <f>[1]BASE!BV222</f>
        <v>621899700.21579325</v>
      </c>
      <c r="AR33" s="6">
        <f>[1]BASE!BW222</f>
        <v>622279207.91128528</v>
      </c>
      <c r="AS33" s="6">
        <f>[1]BASE!BX222</f>
        <v>622734897.31908369</v>
      </c>
      <c r="AT33" s="9">
        <f t="shared" si="2"/>
        <v>2918932544.4590006</v>
      </c>
      <c r="AU33" s="9">
        <f t="shared" si="3"/>
        <v>813917499.60399771</v>
      </c>
      <c r="AV33" s="9">
        <f t="shared" si="4"/>
        <v>5184618747.7885647</v>
      </c>
    </row>
    <row r="34" spans="1:48" x14ac:dyDescent="0.35">
      <c r="A34" s="4" t="str">
        <f>[1]BASE!H231</f>
        <v>PETROLEO</v>
      </c>
      <c r="B34" s="4" t="str">
        <f>[1]BASE!I231</f>
        <v>YPF</v>
      </c>
      <c r="C34" s="4">
        <f>[1]BASE!J231</f>
        <v>0</v>
      </c>
      <c r="D34" s="4" t="str">
        <f>[1]BASE!K231</f>
        <v>FIJO</v>
      </c>
      <c r="E34" s="4" t="str">
        <f>[1]BASE!L231</f>
        <v>YPF - Eventuales Z4 N</v>
      </c>
      <c r="F34" s="4" t="str">
        <f>[1]BASE!M231</f>
        <v>VENTAS</v>
      </c>
      <c r="G34" s="4" t="str">
        <f>[1]BASE!N231</f>
        <v>ARS</v>
      </c>
      <c r="H34" s="4" t="str">
        <f>[1]BASE!CL231</f>
        <v xml:space="preserve">BAU </v>
      </c>
      <c r="I34" s="5">
        <v>1</v>
      </c>
      <c r="J34" s="8">
        <f>[1]BASE!AO231</f>
        <v>0</v>
      </c>
      <c r="K34" s="6">
        <f>[1]BASE!AP231</f>
        <v>0</v>
      </c>
      <c r="L34" s="6">
        <f>[1]BASE!AQ231</f>
        <v>0</v>
      </c>
      <c r="M34" s="6">
        <f>[1]BASE!AR231</f>
        <v>0</v>
      </c>
      <c r="N34" s="6">
        <f>[1]BASE!AS231</f>
        <v>0</v>
      </c>
      <c r="O34" s="6">
        <f>[1]BASE!AT231</f>
        <v>0</v>
      </c>
      <c r="P34" s="6">
        <f>[1]BASE!AU231</f>
        <v>0</v>
      </c>
      <c r="Q34" s="6">
        <f>[1]BASE!AV231</f>
        <v>0</v>
      </c>
      <c r="R34" s="6">
        <f>[1]BASE!AW231</f>
        <v>0</v>
      </c>
      <c r="S34" s="6">
        <f>[1]BASE!AX231</f>
        <v>0</v>
      </c>
      <c r="T34" s="6">
        <f>[1]BASE!AY231</f>
        <v>0</v>
      </c>
      <c r="U34" s="6">
        <f>[1]BASE!AZ231</f>
        <v>0</v>
      </c>
      <c r="V34" s="6">
        <f>[1]BASE!BA231</f>
        <v>0</v>
      </c>
      <c r="W34" s="6">
        <f>[1]BASE!BB231</f>
        <v>0</v>
      </c>
      <c r="X34" s="6">
        <f>[1]BASE!BC231</f>
        <v>0</v>
      </c>
      <c r="Y34" s="6">
        <f>[1]BASE!BD231</f>
        <v>0</v>
      </c>
      <c r="Z34" s="6">
        <f>[1]BASE!BE231</f>
        <v>0</v>
      </c>
      <c r="AA34" s="6">
        <f>[1]BASE!BF231</f>
        <v>0</v>
      </c>
      <c r="AB34" s="6">
        <f>[1]BASE!BG231</f>
        <v>0</v>
      </c>
      <c r="AC34" s="6">
        <f>[1]BASE!BH231</f>
        <v>0</v>
      </c>
      <c r="AD34" s="6">
        <f>[1]BASE!BI231</f>
        <v>0</v>
      </c>
      <c r="AE34" s="6">
        <f>[1]BASE!BJ231</f>
        <v>0</v>
      </c>
      <c r="AF34" s="6">
        <f>[1]BASE!BK231</f>
        <v>0</v>
      </c>
      <c r="AG34" s="6">
        <f>[1]BASE!BL231</f>
        <v>0</v>
      </c>
      <c r="AH34" s="6">
        <f>[1]BASE!BM231</f>
        <v>0</v>
      </c>
      <c r="AI34" s="6">
        <f>[1]BASE!BN231</f>
        <v>0</v>
      </c>
      <c r="AJ34" s="6">
        <f>[1]BASE!BO231</f>
        <v>0</v>
      </c>
      <c r="AK34" s="6">
        <f>[1]BASE!BP231</f>
        <v>0</v>
      </c>
      <c r="AL34" s="6">
        <f>[1]BASE!BQ231</f>
        <v>0</v>
      </c>
      <c r="AM34" s="6">
        <f>[1]BASE!BR231</f>
        <v>0</v>
      </c>
      <c r="AN34" s="6">
        <f>[1]BASE!BS231</f>
        <v>0</v>
      </c>
      <c r="AO34" s="6">
        <f>[1]BASE!BT231</f>
        <v>0</v>
      </c>
      <c r="AP34" s="6">
        <f>[1]BASE!BU231</f>
        <v>0</v>
      </c>
      <c r="AQ34" s="6">
        <f>[1]BASE!BV231</f>
        <v>0</v>
      </c>
      <c r="AR34" s="6">
        <f>[1]BASE!BW231</f>
        <v>0</v>
      </c>
      <c r="AS34" s="6">
        <f>[1]BASE!BX231</f>
        <v>0</v>
      </c>
      <c r="AT34" s="9">
        <f t="shared" si="2"/>
        <v>0</v>
      </c>
      <c r="AU34" s="9">
        <f t="shared" si="3"/>
        <v>0</v>
      </c>
      <c r="AV34" s="9">
        <f t="shared" si="4"/>
        <v>0</v>
      </c>
    </row>
    <row r="35" spans="1:48" x14ac:dyDescent="0.35">
      <c r="A35" s="4" t="str">
        <f>[1]BASE!H240</f>
        <v>PETROLEO</v>
      </c>
      <c r="B35" s="4" t="str">
        <f>[1]BASE!I240</f>
        <v>YPF</v>
      </c>
      <c r="C35" s="4">
        <f>[1]BASE!J240</f>
        <v>0</v>
      </c>
      <c r="D35" s="4" t="str">
        <f>[1]BASE!K240</f>
        <v>EVENTUAL</v>
      </c>
      <c r="E35" s="4" t="str">
        <f>[1]BASE!L240</f>
        <v>YPF - Yac. Fijos - Z2 N</v>
      </c>
      <c r="F35" s="4" t="str">
        <f>[1]BASE!M240</f>
        <v>VENTAS</v>
      </c>
      <c r="G35" s="4" t="str">
        <f>[1]BASE!N240</f>
        <v>ARS</v>
      </c>
      <c r="H35" s="4" t="str">
        <f>[1]BASE!CL240</f>
        <v xml:space="preserve">BAU </v>
      </c>
      <c r="I35" s="5">
        <v>1</v>
      </c>
      <c r="J35" s="8">
        <f>[1]BASE!AO240</f>
        <v>0</v>
      </c>
      <c r="K35" s="6">
        <f>[1]BASE!AP240</f>
        <v>0</v>
      </c>
      <c r="L35" s="6">
        <f>[1]BASE!AQ240</f>
        <v>0</v>
      </c>
      <c r="M35" s="6">
        <f>[1]BASE!AR240</f>
        <v>0</v>
      </c>
      <c r="N35" s="6">
        <f>[1]BASE!AS240</f>
        <v>0</v>
      </c>
      <c r="O35" s="6">
        <f>[1]BASE!AT240</f>
        <v>0</v>
      </c>
      <c r="P35" s="6">
        <f>[1]BASE!AU240</f>
        <v>0</v>
      </c>
      <c r="Q35" s="6">
        <f>[1]BASE!AV240</f>
        <v>0</v>
      </c>
      <c r="R35" s="6">
        <f>[1]BASE!AW240</f>
        <v>0</v>
      </c>
      <c r="S35" s="6">
        <f>[1]BASE!AX240</f>
        <v>0</v>
      </c>
      <c r="T35" s="6">
        <f>[1]BASE!AY240</f>
        <v>0</v>
      </c>
      <c r="U35" s="6">
        <f>[1]BASE!AZ240</f>
        <v>0</v>
      </c>
      <c r="V35" s="6">
        <f>[1]BASE!BA240</f>
        <v>0</v>
      </c>
      <c r="W35" s="6">
        <f>[1]BASE!BB240</f>
        <v>0</v>
      </c>
      <c r="X35" s="6">
        <f>[1]BASE!BC240</f>
        <v>0</v>
      </c>
      <c r="Y35" s="6">
        <f>[1]BASE!BD240</f>
        <v>0</v>
      </c>
      <c r="Z35" s="6">
        <f>[1]BASE!BE240</f>
        <v>0</v>
      </c>
      <c r="AA35" s="6">
        <f>[1]BASE!BF240</f>
        <v>0</v>
      </c>
      <c r="AB35" s="6">
        <f>[1]BASE!BG240</f>
        <v>0</v>
      </c>
      <c r="AC35" s="6">
        <f>[1]BASE!BH240</f>
        <v>0</v>
      </c>
      <c r="AD35" s="6">
        <f>[1]BASE!BI240</f>
        <v>0</v>
      </c>
      <c r="AE35" s="6">
        <f>[1]BASE!BJ240</f>
        <v>0</v>
      </c>
      <c r="AF35" s="6">
        <f>[1]BASE!BK240</f>
        <v>0</v>
      </c>
      <c r="AG35" s="6">
        <f>[1]BASE!BL240</f>
        <v>0</v>
      </c>
      <c r="AH35" s="6">
        <f>[1]BASE!BM240</f>
        <v>0</v>
      </c>
      <c r="AI35" s="6">
        <f>[1]BASE!BN240</f>
        <v>0</v>
      </c>
      <c r="AJ35" s="6">
        <f>[1]BASE!BO240</f>
        <v>0</v>
      </c>
      <c r="AK35" s="6">
        <f>[1]BASE!BP240</f>
        <v>0</v>
      </c>
      <c r="AL35" s="6">
        <f>[1]BASE!BQ240</f>
        <v>0</v>
      </c>
      <c r="AM35" s="6">
        <f>[1]BASE!BR240</f>
        <v>0</v>
      </c>
      <c r="AN35" s="6">
        <f>[1]BASE!BS240</f>
        <v>0</v>
      </c>
      <c r="AO35" s="6">
        <f>[1]BASE!BT240</f>
        <v>0</v>
      </c>
      <c r="AP35" s="6">
        <f>[1]BASE!BU240</f>
        <v>0</v>
      </c>
      <c r="AQ35" s="6">
        <f>[1]BASE!BV240</f>
        <v>0</v>
      </c>
      <c r="AR35" s="6">
        <f>[1]BASE!BW240</f>
        <v>0</v>
      </c>
      <c r="AS35" s="6">
        <f>[1]BASE!BX240</f>
        <v>0</v>
      </c>
      <c r="AT35" s="9">
        <f t="shared" si="2"/>
        <v>0</v>
      </c>
      <c r="AU35" s="9">
        <f t="shared" si="3"/>
        <v>0</v>
      </c>
      <c r="AV35" s="9">
        <f t="shared" si="4"/>
        <v>0</v>
      </c>
    </row>
    <row r="36" spans="1:48" x14ac:dyDescent="0.35">
      <c r="A36" s="4" t="str">
        <f>[1]BASE!H249</f>
        <v>PETROLEO</v>
      </c>
      <c r="B36" s="4" t="str">
        <f>[1]BASE!I249</f>
        <v>YPF</v>
      </c>
      <c r="C36" s="4">
        <f>[1]BASE!J249</f>
        <v>0</v>
      </c>
      <c r="D36" s="4" t="str">
        <f>[1]BASE!K249</f>
        <v>FIJO</v>
      </c>
      <c r="E36" s="4" t="str">
        <f>[1]BASE!L249</f>
        <v>YPF - Yac. Fijos - Z3 N</v>
      </c>
      <c r="F36" s="4" t="str">
        <f>[1]BASE!M249</f>
        <v>VENTAS</v>
      </c>
      <c r="G36" s="4" t="str">
        <f>[1]BASE!N249</f>
        <v>ARS</v>
      </c>
      <c r="H36" s="4" t="str">
        <f>[1]BASE!CL249</f>
        <v xml:space="preserve">BAU </v>
      </c>
      <c r="I36" s="5">
        <v>1</v>
      </c>
      <c r="J36" s="8">
        <f>[1]BASE!AO249</f>
        <v>284590375.96300006</v>
      </c>
      <c r="K36" s="6">
        <f>[1]BASE!AP249</f>
        <v>337990257.972</v>
      </c>
      <c r="L36" s="6">
        <f>[1]BASE!AQ249</f>
        <v>352568056.73500013</v>
      </c>
      <c r="M36" s="6">
        <f>[1]BASE!AR249</f>
        <v>440016290.12299997</v>
      </c>
      <c r="N36" s="6">
        <f>[1]BASE!AS249</f>
        <v>422268715.59099984</v>
      </c>
      <c r="O36" s="6">
        <f>[1]BASE!AT249</f>
        <v>492304697.91899997</v>
      </c>
      <c r="P36" s="6">
        <f>[1]BASE!AU249</f>
        <v>543511287.89899993</v>
      </c>
      <c r="Q36" s="6">
        <f>[1]BASE!AV249</f>
        <v>514813474.56499982</v>
      </c>
      <c r="R36" s="6">
        <f>[1]BASE!AW249</f>
        <v>516723814.5799998</v>
      </c>
      <c r="S36" s="6">
        <f>[1]BASE!AX249</f>
        <v>586074925.79100013</v>
      </c>
      <c r="T36" s="6">
        <f>[1]BASE!AY249</f>
        <v>536727836.15100002</v>
      </c>
      <c r="U36" s="6">
        <f>[1]BASE!AZ249</f>
        <v>540301348.45499992</v>
      </c>
      <c r="V36" s="6">
        <f>[1]BASE!BA249</f>
        <v>613945212.81900012</v>
      </c>
      <c r="W36" s="6">
        <f>[1]BASE!BB249</f>
        <v>616149795.80299997</v>
      </c>
      <c r="X36" s="6">
        <f>[1]BASE!BC249</f>
        <v>665240545.42199993</v>
      </c>
      <c r="Y36" s="6">
        <f>[1]BASE!BD249</f>
        <v>640047305.69700003</v>
      </c>
      <c r="Z36" s="6">
        <f>[1]BASE!BE249</f>
        <v>614242945.05700004</v>
      </c>
      <c r="AA36" s="6">
        <f>[1]BASE!BF249</f>
        <v>631889218.8859998</v>
      </c>
      <c r="AB36" s="6">
        <f>[1]BASE!BG249</f>
        <v>870126109.50099981</v>
      </c>
      <c r="AC36" s="6">
        <f>[1]BASE!BH249</f>
        <v>686033105.04899991</v>
      </c>
      <c r="AD36" s="6">
        <f>[1]BASE!BI249</f>
        <v>860621256.91199982</v>
      </c>
      <c r="AE36" s="6">
        <f>[1]BASE!BJ249</f>
        <v>431637702.59299976</v>
      </c>
      <c r="AF36" s="6">
        <f>[1]BASE!BK249</f>
        <v>724596833.42200005</v>
      </c>
      <c r="AG36" s="6">
        <f>[1]BASE!BL249</f>
        <v>752806744.47300005</v>
      </c>
      <c r="AH36" s="6">
        <f>[1]BASE!BM249</f>
        <v>1023914323.307</v>
      </c>
      <c r="AI36" s="6">
        <f>[1]BASE!BN249</f>
        <v>855217694.87199986</v>
      </c>
      <c r="AJ36" s="6">
        <f>[1]BASE!BO249</f>
        <v>152957550.80099988</v>
      </c>
      <c r="AK36" s="6">
        <f>[1]BASE!BP249</f>
        <v>1115123933.2400002</v>
      </c>
      <c r="AL36" s="6">
        <f>[1]BASE!BQ249</f>
        <v>824979340.46503091</v>
      </c>
      <c r="AM36" s="6">
        <f>[1]BASE!BR249</f>
        <v>825708775.85353267</v>
      </c>
      <c r="AN36" s="6">
        <f>[1]BASE!BS249</f>
        <v>847774404.23986828</v>
      </c>
      <c r="AO36" s="6">
        <f>[1]BASE!BT249</f>
        <v>848488332.32191145</v>
      </c>
      <c r="AP36" s="6">
        <f>[1]BASE!BU249</f>
        <v>849131409.83907759</v>
      </c>
      <c r="AQ36" s="6">
        <f>[1]BASE!BV249</f>
        <v>869392730.28260839</v>
      </c>
      <c r="AR36" s="6">
        <f>[1]BASE!BW249</f>
        <v>869926483.70716655</v>
      </c>
      <c r="AS36" s="6">
        <f>[1]BASE!BX249</f>
        <v>870567381.86242533</v>
      </c>
      <c r="AT36" s="9">
        <f t="shared" si="2"/>
        <v>5567891081.7439995</v>
      </c>
      <c r="AU36" s="9">
        <f t="shared" si="3"/>
        <v>8107336775.6339989</v>
      </c>
      <c r="AV36" s="9">
        <f t="shared" si="4"/>
        <v>9953182360.7916203</v>
      </c>
    </row>
    <row r="37" spans="1:48" x14ac:dyDescent="0.35">
      <c r="A37" s="4" t="str">
        <f>[1]BASE!H258</f>
        <v>PETROLEO</v>
      </c>
      <c r="B37" s="4" t="str">
        <f>[1]BASE!I258</f>
        <v>YPF</v>
      </c>
      <c r="C37" s="4">
        <f>[1]BASE!J258</f>
        <v>0</v>
      </c>
      <c r="D37" s="4" t="str">
        <f>[1]BASE!K258</f>
        <v>FIJO</v>
      </c>
      <c r="E37" s="4" t="str">
        <f>[1]BASE!L258</f>
        <v>YPF - Yac. Fijos - Z4 N</v>
      </c>
      <c r="F37" s="4" t="str">
        <f>[1]BASE!M258</f>
        <v>VENTAS</v>
      </c>
      <c r="G37" s="4" t="str">
        <f>[1]BASE!N258</f>
        <v>ARS</v>
      </c>
      <c r="H37" s="4" t="str">
        <f>[1]BASE!CL258</f>
        <v xml:space="preserve">BAU </v>
      </c>
      <c r="I37" s="5">
        <v>1</v>
      </c>
      <c r="J37" s="8">
        <f>[1]BASE!AO258</f>
        <v>6522891.3500000015</v>
      </c>
      <c r="K37" s="6">
        <f>[1]BASE!AP258</f>
        <v>5852057.1399999987</v>
      </c>
      <c r="L37" s="6">
        <f>[1]BASE!AQ258</f>
        <v>24657657.440000001</v>
      </c>
      <c r="M37" s="6">
        <f>[1]BASE!AR258</f>
        <v>22175823.579999998</v>
      </c>
      <c r="N37" s="6">
        <f>[1]BASE!AS258</f>
        <v>17481214.170000002</v>
      </c>
      <c r="O37" s="6">
        <f>[1]BASE!AT258</f>
        <v>23452732.860000003</v>
      </c>
      <c r="P37" s="6">
        <f>[1]BASE!AU258</f>
        <v>32820824.469999999</v>
      </c>
      <c r="Q37" s="6">
        <f>[1]BASE!AV258</f>
        <v>27071774.739999995</v>
      </c>
      <c r="R37" s="6">
        <f>[1]BASE!AW258</f>
        <v>40761125.100000009</v>
      </c>
      <c r="S37" s="6">
        <f>[1]BASE!AX258</f>
        <v>13480995.140000008</v>
      </c>
      <c r="T37" s="6">
        <f>[1]BASE!AY258</f>
        <v>44218319.039999999</v>
      </c>
      <c r="U37" s="6">
        <f>[1]BASE!AZ258</f>
        <v>-3619852.3799999952</v>
      </c>
      <c r="V37" s="6">
        <f>[1]BASE!BA258</f>
        <v>15036680.470000003</v>
      </c>
      <c r="W37" s="6">
        <f>[1]BASE!BB258</f>
        <v>16602750.210000001</v>
      </c>
      <c r="X37" s="6">
        <f>[1]BASE!BC258</f>
        <v>25547222.079999998</v>
      </c>
      <c r="Y37" s="6">
        <f>[1]BASE!BD258</f>
        <v>24703136.079999998</v>
      </c>
      <c r="Z37" s="6">
        <f>[1]BASE!BE258</f>
        <v>24752631.989999998</v>
      </c>
      <c r="AA37" s="6">
        <f>[1]BASE!BF258</f>
        <v>31598803.889999997</v>
      </c>
      <c r="AB37" s="6">
        <f>[1]BASE!BG258</f>
        <v>26360706.739999995</v>
      </c>
      <c r="AC37" s="6">
        <f>[1]BASE!BH258</f>
        <v>26206517.149999999</v>
      </c>
      <c r="AD37" s="6">
        <f>[1]BASE!BI258</f>
        <v>29108864.530000001</v>
      </c>
      <c r="AE37" s="6">
        <f>[1]BASE!BJ258</f>
        <v>18755044.049999997</v>
      </c>
      <c r="AF37" s="6">
        <f>[1]BASE!BK258</f>
        <v>27302733.899999995</v>
      </c>
      <c r="AG37" s="6">
        <f>[1]BASE!BL258</f>
        <v>29277521.420000002</v>
      </c>
      <c r="AH37" s="6">
        <f>[1]BASE!BM258</f>
        <v>30127131.229999997</v>
      </c>
      <c r="AI37" s="6">
        <f>[1]BASE!BN258</f>
        <v>33553375.190000001</v>
      </c>
      <c r="AJ37" s="6">
        <f>[1]BASE!BO258</f>
        <v>32005413.439999998</v>
      </c>
      <c r="AK37" s="6">
        <f>[1]BASE!BP258</f>
        <v>34485096.989999995</v>
      </c>
      <c r="AL37" s="6">
        <f>[1]BASE!BQ258</f>
        <v>28162982.740904924</v>
      </c>
      <c r="AM37" s="6">
        <f>[1]BASE!BR258</f>
        <v>28183217.15095105</v>
      </c>
      <c r="AN37" s="6">
        <f>[1]BASE!BS258</f>
        <v>28938374.923293497</v>
      </c>
      <c r="AO37" s="6">
        <f>[1]BASE!BT258</f>
        <v>28958176.095990371</v>
      </c>
      <c r="AP37" s="6">
        <f>[1]BASE!BU258</f>
        <v>28976009.345529947</v>
      </c>
      <c r="AQ37" s="6">
        <f>[1]BASE!BV258</f>
        <v>29670026.535081204</v>
      </c>
      <c r="AR37" s="6">
        <f>[1]BASE!BW258</f>
        <v>29684826.552806303</v>
      </c>
      <c r="AS37" s="6">
        <f>[1]BASE!BX258</f>
        <v>29702595.433139265</v>
      </c>
      <c r="AT37" s="9">
        <f t="shared" si="2"/>
        <v>254875562.65000004</v>
      </c>
      <c r="AU37" s="9">
        <f t="shared" si="3"/>
        <v>295252612.50999999</v>
      </c>
      <c r="AV37" s="9">
        <f t="shared" si="4"/>
        <v>362447225.62769657</v>
      </c>
    </row>
    <row r="38" spans="1:48" x14ac:dyDescent="0.35">
      <c r="A38" s="4" t="str">
        <f>[1]BASE!H267</f>
        <v>PETROLEO</v>
      </c>
      <c r="B38" s="4" t="str">
        <f>[1]BASE!I267</f>
        <v>YPF</v>
      </c>
      <c r="C38" s="4">
        <f>[1]BASE!J267</f>
        <v>0</v>
      </c>
      <c r="D38" s="4" t="str">
        <f>[1]BASE!K267</f>
        <v>FIJO</v>
      </c>
      <c r="E38" s="4" t="str">
        <f>[1]BASE!L267</f>
        <v>YPF - Eventuales Z3 P</v>
      </c>
      <c r="F38" s="4" t="str">
        <f>[1]BASE!M267</f>
        <v>VENTAS</v>
      </c>
      <c r="G38" s="4" t="str">
        <f>[1]BASE!N267</f>
        <v>ARS</v>
      </c>
      <c r="H38" s="4" t="str">
        <f>[1]BASE!CL267</f>
        <v xml:space="preserve">BAU </v>
      </c>
      <c r="I38" s="5">
        <v>1</v>
      </c>
      <c r="J38" s="8">
        <f>[1]BASE!AO267</f>
        <v>0</v>
      </c>
      <c r="K38" s="6">
        <f>[1]BASE!AP267</f>
        <v>0</v>
      </c>
      <c r="L38" s="6">
        <f>[1]BASE!AQ267</f>
        <v>0</v>
      </c>
      <c r="M38" s="6">
        <f>[1]BASE!AR267</f>
        <v>0</v>
      </c>
      <c r="N38" s="6">
        <f>[1]BASE!AS267</f>
        <v>0</v>
      </c>
      <c r="O38" s="6">
        <f>[1]BASE!AT267</f>
        <v>0</v>
      </c>
      <c r="P38" s="6">
        <f>[1]BASE!AU267</f>
        <v>0</v>
      </c>
      <c r="Q38" s="6">
        <f>[1]BASE!AV267</f>
        <v>0</v>
      </c>
      <c r="R38" s="6">
        <f>[1]BASE!AW267</f>
        <v>0</v>
      </c>
      <c r="S38" s="6">
        <f>[1]BASE!AX267</f>
        <v>0</v>
      </c>
      <c r="T38" s="6">
        <f>[1]BASE!AY267</f>
        <v>0</v>
      </c>
      <c r="U38" s="6">
        <f>[1]BASE!AZ267</f>
        <v>0</v>
      </c>
      <c r="V38" s="6">
        <f>[1]BASE!BA267</f>
        <v>0</v>
      </c>
      <c r="W38" s="6">
        <f>[1]BASE!BB267</f>
        <v>0</v>
      </c>
      <c r="X38" s="6">
        <f>[1]BASE!BC267</f>
        <v>0</v>
      </c>
      <c r="Y38" s="6">
        <f>[1]BASE!BD267</f>
        <v>0</v>
      </c>
      <c r="Z38" s="6">
        <f>[1]BASE!BE267</f>
        <v>0</v>
      </c>
      <c r="AA38" s="6">
        <f>[1]BASE!BF267</f>
        <v>0</v>
      </c>
      <c r="AB38" s="6">
        <f>[1]BASE!BG267</f>
        <v>0</v>
      </c>
      <c r="AC38" s="6">
        <f>[1]BASE!BH267</f>
        <v>0</v>
      </c>
      <c r="AD38" s="6">
        <f>[1]BASE!BI267</f>
        <v>0</v>
      </c>
      <c r="AE38" s="6">
        <f>[1]BASE!BJ267</f>
        <v>0</v>
      </c>
      <c r="AF38" s="6">
        <f>[1]BASE!BK267</f>
        <v>0</v>
      </c>
      <c r="AG38" s="6">
        <f>[1]BASE!BL267</f>
        <v>0</v>
      </c>
      <c r="AH38" s="6">
        <f>[1]BASE!BM267</f>
        <v>0</v>
      </c>
      <c r="AI38" s="6">
        <f>[1]BASE!BN267</f>
        <v>0</v>
      </c>
      <c r="AJ38" s="6">
        <f>[1]BASE!BO267</f>
        <v>0</v>
      </c>
      <c r="AK38" s="6">
        <f>[1]BASE!BP267</f>
        <v>0</v>
      </c>
      <c r="AL38" s="6">
        <f>[1]BASE!BQ267</f>
        <v>0</v>
      </c>
      <c r="AM38" s="6">
        <f>[1]BASE!BR267</f>
        <v>0</v>
      </c>
      <c r="AN38" s="6">
        <f>[1]BASE!BS267</f>
        <v>0</v>
      </c>
      <c r="AO38" s="6">
        <f>[1]BASE!BT267</f>
        <v>0</v>
      </c>
      <c r="AP38" s="6">
        <f>[1]BASE!BU267</f>
        <v>0</v>
      </c>
      <c r="AQ38" s="6">
        <f>[1]BASE!BV267</f>
        <v>0</v>
      </c>
      <c r="AR38" s="6">
        <f>[1]BASE!BW267</f>
        <v>0</v>
      </c>
      <c r="AS38" s="6">
        <f>[1]BASE!BX267</f>
        <v>0</v>
      </c>
      <c r="AT38" s="9">
        <f t="shared" si="2"/>
        <v>0</v>
      </c>
      <c r="AU38" s="9">
        <f t="shared" si="3"/>
        <v>0</v>
      </c>
      <c r="AV38" s="9">
        <f t="shared" si="4"/>
        <v>0</v>
      </c>
    </row>
    <row r="39" spans="1:48" x14ac:dyDescent="0.35">
      <c r="A39" s="4" t="str">
        <f>[1]BASE!H276</f>
        <v>PETROLEO</v>
      </c>
      <c r="B39" s="4" t="str">
        <f>[1]BASE!I276</f>
        <v>YPF</v>
      </c>
      <c r="C39" s="4">
        <f>[1]BASE!J276</f>
        <v>0</v>
      </c>
      <c r="D39" s="4" t="str">
        <f>[1]BASE!K276</f>
        <v>EVENTUAL</v>
      </c>
      <c r="E39" s="4" t="str">
        <f>[1]BASE!L276</f>
        <v>YPF - Eventuales Z4 P</v>
      </c>
      <c r="F39" s="4" t="str">
        <f>[1]BASE!M276</f>
        <v>VENTAS</v>
      </c>
      <c r="G39" s="4" t="str">
        <f>[1]BASE!N276</f>
        <v>ARS</v>
      </c>
      <c r="H39" s="4" t="str">
        <f>[1]BASE!CL276</f>
        <v xml:space="preserve">BAU </v>
      </c>
      <c r="I39" s="5">
        <v>1</v>
      </c>
      <c r="J39" s="8">
        <f>[1]BASE!AO276</f>
        <v>0</v>
      </c>
      <c r="K39" s="6">
        <f>[1]BASE!AP276</f>
        <v>-792007.46</v>
      </c>
      <c r="L39" s="6">
        <f>[1]BASE!AQ276</f>
        <v>0</v>
      </c>
      <c r="M39" s="6">
        <f>[1]BASE!AR276</f>
        <v>0</v>
      </c>
      <c r="N39" s="6">
        <f>[1]BASE!AS276</f>
        <v>0</v>
      </c>
      <c r="O39" s="6">
        <f>[1]BASE!AT276</f>
        <v>0</v>
      </c>
      <c r="P39" s="6">
        <f>[1]BASE!AU276</f>
        <v>0</v>
      </c>
      <c r="Q39" s="6">
        <f>[1]BASE!AV276</f>
        <v>0</v>
      </c>
      <c r="R39" s="6">
        <f>[1]BASE!AW276</f>
        <v>0</v>
      </c>
      <c r="S39" s="6">
        <f>[1]BASE!AX276</f>
        <v>0</v>
      </c>
      <c r="T39" s="6">
        <f>[1]BASE!AY276</f>
        <v>0</v>
      </c>
      <c r="U39" s="6">
        <f>[1]BASE!AZ276</f>
        <v>0</v>
      </c>
      <c r="V39" s="6">
        <f>[1]BASE!BA276</f>
        <v>0</v>
      </c>
      <c r="W39" s="6">
        <f>[1]BASE!BB276</f>
        <v>0</v>
      </c>
      <c r="X39" s="6">
        <f>[1]BASE!BC276</f>
        <v>0</v>
      </c>
      <c r="Y39" s="6">
        <f>[1]BASE!BD276</f>
        <v>0</v>
      </c>
      <c r="Z39" s="6">
        <f>[1]BASE!BE276</f>
        <v>0</v>
      </c>
      <c r="AA39" s="6">
        <f>[1]BASE!BF276</f>
        <v>0</v>
      </c>
      <c r="AB39" s="6">
        <f>[1]BASE!BG276</f>
        <v>0</v>
      </c>
      <c r="AC39" s="6">
        <f>[1]BASE!BH276</f>
        <v>0</v>
      </c>
      <c r="AD39" s="6">
        <f>[1]BASE!BI276</f>
        <v>0</v>
      </c>
      <c r="AE39" s="6">
        <f>[1]BASE!BJ276</f>
        <v>0</v>
      </c>
      <c r="AF39" s="6">
        <f>[1]BASE!BK276</f>
        <v>0</v>
      </c>
      <c r="AG39" s="6">
        <f>[1]BASE!BL276</f>
        <v>0</v>
      </c>
      <c r="AH39" s="6">
        <f>[1]BASE!BM276</f>
        <v>0</v>
      </c>
      <c r="AI39" s="6">
        <f>[1]BASE!BN276</f>
        <v>0</v>
      </c>
      <c r="AJ39" s="6">
        <f>[1]BASE!BO276</f>
        <v>0</v>
      </c>
      <c r="AK39" s="6">
        <f>[1]BASE!BP276</f>
        <v>0</v>
      </c>
      <c r="AL39" s="6">
        <f>[1]BASE!BQ276</f>
        <v>0</v>
      </c>
      <c r="AM39" s="6">
        <f>[1]BASE!BR276</f>
        <v>0</v>
      </c>
      <c r="AN39" s="6">
        <f>[1]BASE!BS276</f>
        <v>0</v>
      </c>
      <c r="AO39" s="6">
        <f>[1]BASE!BT276</f>
        <v>0</v>
      </c>
      <c r="AP39" s="6">
        <f>[1]BASE!BU276</f>
        <v>0</v>
      </c>
      <c r="AQ39" s="6">
        <f>[1]BASE!BV276</f>
        <v>0</v>
      </c>
      <c r="AR39" s="6">
        <f>[1]BASE!BW276</f>
        <v>0</v>
      </c>
      <c r="AS39" s="6">
        <f>[1]BASE!BX276</f>
        <v>0</v>
      </c>
      <c r="AT39" s="9">
        <f t="shared" si="2"/>
        <v>-792007.46</v>
      </c>
      <c r="AU39" s="9">
        <f t="shared" si="3"/>
        <v>0</v>
      </c>
      <c r="AV39" s="9">
        <f t="shared" si="4"/>
        <v>0</v>
      </c>
    </row>
    <row r="40" spans="1:48" x14ac:dyDescent="0.35">
      <c r="A40" s="4" t="str">
        <f>[1]BASE!H285</f>
        <v>PETROLEO</v>
      </c>
      <c r="B40" s="4" t="str">
        <f>[1]BASE!I285</f>
        <v>YPF</v>
      </c>
      <c r="C40" s="4">
        <f>[1]BASE!J285</f>
        <v>0</v>
      </c>
      <c r="D40" s="4" t="str">
        <f>[1]BASE!K285</f>
        <v>FIJO</v>
      </c>
      <c r="E40" s="4" t="str">
        <f>[1]BASE!L285</f>
        <v>YPF - Yac. Fijos - Z2 P</v>
      </c>
      <c r="F40" s="4" t="str">
        <f>[1]BASE!M285</f>
        <v>VENTAS</v>
      </c>
      <c r="G40" s="4" t="str">
        <f>[1]BASE!N285</f>
        <v>ARS</v>
      </c>
      <c r="H40" s="4" t="str">
        <f>[1]BASE!CL285</f>
        <v xml:space="preserve">BAU </v>
      </c>
      <c r="I40" s="5">
        <v>1</v>
      </c>
      <c r="J40" s="8">
        <f>[1]BASE!AO285</f>
        <v>71415788.178000003</v>
      </c>
      <c r="K40" s="6">
        <f>[1]BASE!AP285</f>
        <v>84874570.728999987</v>
      </c>
      <c r="L40" s="6">
        <f>[1]BASE!AQ285</f>
        <v>88625469.472000018</v>
      </c>
      <c r="M40" s="6">
        <f>[1]BASE!AR285</f>
        <v>110628224.831</v>
      </c>
      <c r="N40" s="6">
        <f>[1]BASE!AS285</f>
        <v>114148884.35100004</v>
      </c>
      <c r="O40" s="6">
        <f>[1]BASE!AT285</f>
        <v>118772270.48100004</v>
      </c>
      <c r="P40" s="6">
        <f>[1]BASE!AU285</f>
        <v>137120357.211</v>
      </c>
      <c r="Q40" s="6">
        <f>[1]BASE!AV285</f>
        <v>133540595.145</v>
      </c>
      <c r="R40" s="6">
        <f>[1]BASE!AW285</f>
        <v>123150762.73399994</v>
      </c>
      <c r="S40" s="6">
        <f>[1]BASE!AX285</f>
        <v>149061264.50000006</v>
      </c>
      <c r="T40" s="6">
        <f>[1]BASE!AY285</f>
        <v>127722102.98200001</v>
      </c>
      <c r="U40" s="6">
        <f>[1]BASE!AZ285</f>
        <v>150851717.24099997</v>
      </c>
      <c r="V40" s="6">
        <f>[1]BASE!BA285</f>
        <v>155146521.94399998</v>
      </c>
      <c r="W40" s="6">
        <f>[1]BASE!BB285</f>
        <v>47995058.051999986</v>
      </c>
      <c r="X40" s="6">
        <f>[1]BASE!BC285</f>
        <v>87568799.59300001</v>
      </c>
      <c r="Y40" s="6">
        <f>[1]BASE!BD285</f>
        <v>80381320.261000007</v>
      </c>
      <c r="Z40" s="6">
        <f>[1]BASE!BE285</f>
        <v>80477120.261000007</v>
      </c>
      <c r="AA40" s="6">
        <f>[1]BASE!BF285</f>
        <v>98572656.20100002</v>
      </c>
      <c r="AB40" s="6">
        <f>[1]BASE!BG285</f>
        <v>85241100.71100001</v>
      </c>
      <c r="AC40" s="6">
        <f>[1]BASE!BH285</f>
        <v>93080200.989999995</v>
      </c>
      <c r="AD40" s="6">
        <f>[1]BASE!BI285</f>
        <v>108689011.58999999</v>
      </c>
      <c r="AE40" s="6">
        <f>[1]BASE!BJ285</f>
        <v>56037220.611000001</v>
      </c>
      <c r="AF40" s="6">
        <f>[1]BASE!BK285</f>
        <v>108565806.97799999</v>
      </c>
      <c r="AG40" s="6">
        <f>[1]BASE!BL285</f>
        <v>1.0000030742958188E-3</v>
      </c>
      <c r="AH40" s="6">
        <f>[1]BASE!BM285</f>
        <v>197214793.64099997</v>
      </c>
      <c r="AI40" s="6">
        <f>[1]BASE!BN285</f>
        <v>112886720.30999999</v>
      </c>
      <c r="AJ40" s="6">
        <f>[1]BASE!BO285</f>
        <v>106805387.47</v>
      </c>
      <c r="AK40" s="6">
        <f>[1]BASE!BP285</f>
        <v>113332065.23000002</v>
      </c>
      <c r="AL40" s="6">
        <f>[1]BASE!BQ285</f>
        <v>115437278.89457685</v>
      </c>
      <c r="AM40" s="6">
        <f>[1]BASE!BR285</f>
        <v>115511923.85429315</v>
      </c>
      <c r="AN40" s="6">
        <f>[1]BASE!BS285</f>
        <v>118607659.71567717</v>
      </c>
      <c r="AO40" s="6">
        <f>[1]BASE!BT285</f>
        <v>118680701.60844015</v>
      </c>
      <c r="AP40" s="6">
        <f>[1]BASE!BU285</f>
        <v>118746479.79503137</v>
      </c>
      <c r="AQ40" s="6">
        <f>[1]BASE!BV285</f>
        <v>121592640.46946535</v>
      </c>
      <c r="AR40" s="6">
        <f>[1]BASE!BW285</f>
        <v>121647228.08194542</v>
      </c>
      <c r="AS40" s="6">
        <f>[1]BASE!BX285</f>
        <v>121712762.62469578</v>
      </c>
      <c r="AT40" s="9">
        <f t="shared" si="2"/>
        <v>1409912007.8550003</v>
      </c>
      <c r="AU40" s="9">
        <f t="shared" si="3"/>
        <v>1001754817.193</v>
      </c>
      <c r="AV40" s="9">
        <f t="shared" si="4"/>
        <v>1482175641.6951251</v>
      </c>
    </row>
    <row r="41" spans="1:48" x14ac:dyDescent="0.35">
      <c r="A41" s="4" t="str">
        <f>[1]BASE!H294</f>
        <v>PETROLEO</v>
      </c>
      <c r="B41" s="4" t="str">
        <f>[1]BASE!I294</f>
        <v>YPF</v>
      </c>
      <c r="C41" s="4">
        <f>[1]BASE!J294</f>
        <v>0</v>
      </c>
      <c r="D41" s="4" t="str">
        <f>[1]BASE!K294</f>
        <v>FIJO</v>
      </c>
      <c r="E41" s="4" t="str">
        <f>[1]BASE!L294</f>
        <v>YPF - Yac. Fijos - Z4 P</v>
      </c>
      <c r="F41" s="4" t="str">
        <f>[1]BASE!M294</f>
        <v>VENTAS</v>
      </c>
      <c r="G41" s="4" t="str">
        <f>[1]BASE!N294</f>
        <v>ARS</v>
      </c>
      <c r="H41" s="4" t="str">
        <f>[1]BASE!CL294</f>
        <v xml:space="preserve">BAU </v>
      </c>
      <c r="I41" s="5">
        <v>1</v>
      </c>
      <c r="J41" s="8">
        <f>[1]BASE!AO294</f>
        <v>400459699.20499992</v>
      </c>
      <c r="K41" s="6">
        <f>[1]BASE!AP294</f>
        <v>511734303.153</v>
      </c>
      <c r="L41" s="6">
        <f>[1]BASE!AQ294</f>
        <v>527495952.48800021</v>
      </c>
      <c r="M41" s="6">
        <f>[1]BASE!AR294</f>
        <v>583166475.64300013</v>
      </c>
      <c r="N41" s="6">
        <f>[1]BASE!AS294</f>
        <v>675714566.65600026</v>
      </c>
      <c r="O41" s="6">
        <f>[1]BASE!AT294</f>
        <v>770290503.65700054</v>
      </c>
      <c r="P41" s="6">
        <f>[1]BASE!AU294</f>
        <v>861701318.98500013</v>
      </c>
      <c r="Q41" s="6">
        <f>[1]BASE!AV294</f>
        <v>1059749639.89</v>
      </c>
      <c r="R41" s="6">
        <f>[1]BASE!AW294</f>
        <v>905440209.69700062</v>
      </c>
      <c r="S41" s="6">
        <f>[1]BASE!AX294</f>
        <v>1106414410.723</v>
      </c>
      <c r="T41" s="6">
        <f>[1]BASE!AY294</f>
        <v>882094301.55900013</v>
      </c>
      <c r="U41" s="6">
        <f>[1]BASE!AZ294</f>
        <v>934436778.37600005</v>
      </c>
      <c r="V41" s="6">
        <f>[1]BASE!BA294</f>
        <v>1339341669.3630002</v>
      </c>
      <c r="W41" s="6">
        <f>[1]BASE!BB294</f>
        <v>885727494.95600009</v>
      </c>
      <c r="X41" s="6">
        <f>[1]BASE!BC294</f>
        <v>1020009649.8039998</v>
      </c>
      <c r="Y41" s="6">
        <f>[1]BASE!BD294</f>
        <v>830525965.62900007</v>
      </c>
      <c r="Z41" s="6">
        <f>[1]BASE!BE294</f>
        <v>850079668.51099992</v>
      </c>
      <c r="AA41" s="6">
        <f>[1]BASE!BF294</f>
        <v>1506136588.0589995</v>
      </c>
      <c r="AB41" s="6">
        <f>[1]BASE!BG294</f>
        <v>1021571601.4590001</v>
      </c>
      <c r="AC41" s="6">
        <f>[1]BASE!BH294</f>
        <v>793663987.20499992</v>
      </c>
      <c r="AD41" s="6">
        <f>[1]BASE!BI294</f>
        <v>917877467.4339999</v>
      </c>
      <c r="AE41" s="6">
        <f>[1]BASE!BJ294</f>
        <v>600211326.71399999</v>
      </c>
      <c r="AF41" s="6">
        <f>[1]BASE!BK294</f>
        <v>792697798.92499995</v>
      </c>
      <c r="AG41" s="6">
        <f>[1]BASE!BL294</f>
        <v>1003639681.562</v>
      </c>
      <c r="AH41" s="6">
        <f>[1]BASE!BM294</f>
        <v>766908658.29299974</v>
      </c>
      <c r="AI41" s="6">
        <f>[1]BASE!BN294</f>
        <v>653978956.70200014</v>
      </c>
      <c r="AJ41" s="6">
        <f>[1]BASE!BO294</f>
        <v>1302375112.5850003</v>
      </c>
      <c r="AK41" s="6">
        <f>[1]BASE!BP294</f>
        <v>620024490.55699992</v>
      </c>
      <c r="AL41" s="6">
        <f>[1]BASE!BQ294</f>
        <v>544676765.37118363</v>
      </c>
      <c r="AM41" s="6">
        <f>[1]BASE!BR294</f>
        <v>545067527.44302535</v>
      </c>
      <c r="AN41" s="6">
        <f>[1]BASE!BS294</f>
        <v>559650953.15275979</v>
      </c>
      <c r="AO41" s="6">
        <f>[1]BASE!BT294</f>
        <v>560033348.64886212</v>
      </c>
      <c r="AP41" s="6">
        <f>[1]BASE!BU294</f>
        <v>560377740.08512688</v>
      </c>
      <c r="AQ41" s="6">
        <f>[1]BASE!BV294</f>
        <v>573780433.52984142</v>
      </c>
      <c r="AR41" s="6">
        <f>[1]BASE!BW294</f>
        <v>574066247.9210875</v>
      </c>
      <c r="AS41" s="6">
        <f>[1]BASE!BX294</f>
        <v>574409396.27467859</v>
      </c>
      <c r="AT41" s="9">
        <f t="shared" si="2"/>
        <v>9218698160.0320015</v>
      </c>
      <c r="AU41" s="9">
        <f t="shared" si="3"/>
        <v>11561482899.621</v>
      </c>
      <c r="AV41" s="9">
        <f t="shared" si="4"/>
        <v>7835349630.5635643</v>
      </c>
    </row>
    <row r="42" spans="1:48" x14ac:dyDescent="0.35">
      <c r="A42" s="4" t="str">
        <f>[1]BASE!H294</f>
        <v>PETROLEO</v>
      </c>
      <c r="B42" s="4" t="str">
        <f>[1]BASE!I294</f>
        <v>YPF</v>
      </c>
      <c r="C42" s="4">
        <f>[1]BASE!J294</f>
        <v>0</v>
      </c>
      <c r="D42" s="4" t="str">
        <f>[1]BASE!K294</f>
        <v>FIJO</v>
      </c>
      <c r="E42" s="4" t="str">
        <f>[1]BASE!L294</f>
        <v>YPF - Yac. Fijos - Z4 P</v>
      </c>
      <c r="F42" s="4" t="str">
        <f>[1]BASE!M294</f>
        <v>VENTAS</v>
      </c>
      <c r="G42" s="4" t="str">
        <f>[1]BASE!N294</f>
        <v>ARS</v>
      </c>
      <c r="H42" s="4" t="str">
        <f>[1]BASE!CL294</f>
        <v xml:space="preserve">BAU </v>
      </c>
      <c r="I42" s="5">
        <v>1</v>
      </c>
      <c r="J42" s="8">
        <f>[1]BASE!AO294</f>
        <v>400459699.20499992</v>
      </c>
      <c r="K42" s="6">
        <f>[1]BASE!AP294</f>
        <v>511734303.153</v>
      </c>
      <c r="L42" s="6">
        <f>[1]BASE!AQ294</f>
        <v>527495952.48800021</v>
      </c>
      <c r="M42" s="6">
        <f>[1]BASE!AR294</f>
        <v>583166475.64300013</v>
      </c>
      <c r="N42" s="6">
        <f>[1]BASE!AS294</f>
        <v>675714566.65600026</v>
      </c>
      <c r="O42" s="6">
        <f>[1]BASE!AT294</f>
        <v>770290503.65700054</v>
      </c>
      <c r="P42" s="6">
        <f>[1]BASE!AU294</f>
        <v>861701318.98500013</v>
      </c>
      <c r="Q42" s="6">
        <f>[1]BASE!AV294</f>
        <v>1059749639.89</v>
      </c>
      <c r="R42" s="6">
        <f>[1]BASE!AW294</f>
        <v>905440209.69700062</v>
      </c>
      <c r="S42" s="6">
        <f>[1]BASE!AX294</f>
        <v>1106414410.723</v>
      </c>
      <c r="T42" s="6">
        <f>[1]BASE!AY294</f>
        <v>882094301.55900013</v>
      </c>
      <c r="U42" s="6">
        <f>[1]BASE!AZ294</f>
        <v>934436778.37600005</v>
      </c>
      <c r="V42" s="6">
        <f>[1]BASE!BA294</f>
        <v>1339341669.3630002</v>
      </c>
      <c r="W42" s="6">
        <f>[1]BASE!BB294</f>
        <v>885727494.95600009</v>
      </c>
      <c r="X42" s="6">
        <f>[1]BASE!BC294</f>
        <v>1020009649.8039998</v>
      </c>
      <c r="Y42" s="6">
        <f>[1]BASE!BD294</f>
        <v>830525965.62900007</v>
      </c>
      <c r="Z42" s="6">
        <f>[1]BASE!BE294</f>
        <v>850079668.51099992</v>
      </c>
      <c r="AA42" s="6">
        <f>[1]BASE!BF294</f>
        <v>1506136588.0589995</v>
      </c>
      <c r="AB42" s="6">
        <f>[1]BASE!BG294</f>
        <v>1021571601.4590001</v>
      </c>
      <c r="AC42" s="6">
        <f>[1]BASE!BH294</f>
        <v>793663987.20499992</v>
      </c>
      <c r="AD42" s="6">
        <f>[1]BASE!BI294</f>
        <v>917877467.4339999</v>
      </c>
      <c r="AE42" s="6">
        <f>[1]BASE!BJ294</f>
        <v>600211326.71399999</v>
      </c>
      <c r="AF42" s="6">
        <f>[1]BASE!BK294</f>
        <v>792697798.92499995</v>
      </c>
      <c r="AG42" s="6">
        <f>[1]BASE!BL294</f>
        <v>1003639681.562</v>
      </c>
      <c r="AH42" s="6">
        <f>[1]BASE!BM294</f>
        <v>766908658.29299974</v>
      </c>
      <c r="AI42" s="6">
        <f>[1]BASE!BN294</f>
        <v>653978956.70200014</v>
      </c>
      <c r="AJ42" s="6">
        <f>[1]BASE!BO294</f>
        <v>1302375112.5850003</v>
      </c>
      <c r="AK42" s="6">
        <f>[1]BASE!BP294</f>
        <v>620024490.55699992</v>
      </c>
      <c r="AL42" s="6">
        <f>[1]BASE!BQ294</f>
        <v>544676765.37118363</v>
      </c>
      <c r="AM42" s="6">
        <f>[1]BASE!BR294</f>
        <v>545067527.44302535</v>
      </c>
      <c r="AN42" s="6">
        <f>[1]BASE!BS294</f>
        <v>559650953.15275979</v>
      </c>
      <c r="AO42" s="6">
        <f>[1]BASE!BT294</f>
        <v>560033348.64886212</v>
      </c>
      <c r="AP42" s="6">
        <f>[1]BASE!BU294</f>
        <v>560377740.08512688</v>
      </c>
      <c r="AQ42" s="6">
        <f>[1]BASE!BV294</f>
        <v>573780433.52984142</v>
      </c>
      <c r="AR42" s="6">
        <f>[1]BASE!BW294</f>
        <v>574066247.9210875</v>
      </c>
      <c r="AS42" s="6">
        <f>[1]BASE!BX294</f>
        <v>574409396.27467859</v>
      </c>
      <c r="AT42" s="9">
        <f t="shared" si="2"/>
        <v>9218698160.0320015</v>
      </c>
      <c r="AU42" s="9">
        <f t="shared" si="3"/>
        <v>11561482899.621</v>
      </c>
      <c r="AV42" s="9">
        <f t="shared" si="4"/>
        <v>7835349630.5635643</v>
      </c>
    </row>
    <row r="43" spans="1:48" x14ac:dyDescent="0.35">
      <c r="A43" s="4" t="str">
        <f>[1]BASE!H303</f>
        <v>PETROLEO</v>
      </c>
      <c r="B43" s="4" t="str">
        <f>[1]BASE!I303</f>
        <v>YPF</v>
      </c>
      <c r="C43" s="4">
        <f>[1]BASE!J303</f>
        <v>0</v>
      </c>
      <c r="D43" s="4" t="str">
        <f>[1]BASE!K303</f>
        <v>EVENTUAL</v>
      </c>
      <c r="E43" s="4" t="str">
        <f>[1]BASE!L303</f>
        <v>YPF - Minería</v>
      </c>
      <c r="F43" s="4" t="str">
        <f>[1]BASE!M303</f>
        <v>VENTAS</v>
      </c>
      <c r="G43" s="4" t="str">
        <f>[1]BASE!N303</f>
        <v>ARS</v>
      </c>
      <c r="H43" s="4" t="str">
        <f>[1]BASE!CL303</f>
        <v xml:space="preserve">BAU </v>
      </c>
      <c r="I43" s="5">
        <v>1</v>
      </c>
      <c r="J43" s="8">
        <f>[1]BASE!AO303</f>
        <v>20156977.140000001</v>
      </c>
      <c r="K43" s="6">
        <f>[1]BASE!AP303</f>
        <v>24515502.630000003</v>
      </c>
      <c r="L43" s="6">
        <f>[1]BASE!AQ303</f>
        <v>30096829.259999994</v>
      </c>
      <c r="M43" s="6">
        <f>[1]BASE!AR303</f>
        <v>30001497.949999996</v>
      </c>
      <c r="N43" s="6">
        <f>[1]BASE!AS303</f>
        <v>33498398.860000007</v>
      </c>
      <c r="O43" s="6">
        <f>[1]BASE!AT303</f>
        <v>36456573.740000002</v>
      </c>
      <c r="P43" s="6">
        <f>[1]BASE!AU303</f>
        <v>38956749.960000001</v>
      </c>
      <c r="Q43" s="6">
        <f>[1]BASE!AV303</f>
        <v>40680513.579999998</v>
      </c>
      <c r="R43" s="6">
        <f>[1]BASE!AW303</f>
        <v>42055252.282999992</v>
      </c>
      <c r="S43" s="6">
        <f>[1]BASE!AX303</f>
        <v>43774284.909999989</v>
      </c>
      <c r="T43" s="6">
        <f>[1]BASE!AY303</f>
        <v>43744423.919999994</v>
      </c>
      <c r="U43" s="6">
        <f>[1]BASE!AZ303</f>
        <v>43992978.379999988</v>
      </c>
      <c r="V43" s="6">
        <f>[1]BASE!BA303</f>
        <v>42089669.279999994</v>
      </c>
      <c r="W43" s="6">
        <f>[1]BASE!BB303</f>
        <v>49676823.030000001</v>
      </c>
      <c r="X43" s="6">
        <f>[1]BASE!BC303</f>
        <v>48560810.06000001</v>
      </c>
      <c r="Y43" s="6">
        <f>[1]BASE!BD303</f>
        <v>49219508.840000018</v>
      </c>
      <c r="Z43" s="6">
        <f>[1]BASE!BE303</f>
        <v>58006575.059999995</v>
      </c>
      <c r="AA43" s="6">
        <f>[1]BASE!BF303</f>
        <v>53610040.030000001</v>
      </c>
      <c r="AB43" s="6">
        <f>[1]BASE!BG303</f>
        <v>53408163.489999995</v>
      </c>
      <c r="AC43" s="6">
        <f>[1]BASE!BH303</f>
        <v>53393420.5</v>
      </c>
      <c r="AD43" s="6">
        <f>[1]BASE!BI303</f>
        <v>2266840.4699999932</v>
      </c>
      <c r="AE43" s="6">
        <f>[1]BASE!BJ303</f>
        <v>-1.1641532182693481E-10</v>
      </c>
      <c r="AF43" s="6">
        <f>[1]BASE!BK303</f>
        <v>0.32999999995809048</v>
      </c>
      <c r="AG43" s="6">
        <f>[1]BASE!BL303</f>
        <v>-238471.39999999991</v>
      </c>
      <c r="AH43" s="6">
        <f>[1]BASE!BM303</f>
        <v>0</v>
      </c>
      <c r="AI43" s="6">
        <f>[1]BASE!BN303</f>
        <v>36913221.329999998</v>
      </c>
      <c r="AJ43" s="6">
        <f>[1]BASE!BO303</f>
        <v>59499948.339999996</v>
      </c>
      <c r="AK43" s="6">
        <f>[1]BASE!BP303</f>
        <v>59469948.420000002</v>
      </c>
      <c r="AL43" s="6">
        <f>[1]BASE!BQ303</f>
        <v>60521056.842479989</v>
      </c>
      <c r="AM43" s="6">
        <f>[1]BASE!BR303</f>
        <v>62131122.324373588</v>
      </c>
      <c r="AN43" s="6">
        <f>[1]BASE!BS303</f>
        <v>0</v>
      </c>
      <c r="AO43" s="6">
        <f>[1]BASE!BT303</f>
        <v>0</v>
      </c>
      <c r="AP43" s="6">
        <f>[1]BASE!BU303</f>
        <v>0</v>
      </c>
      <c r="AQ43" s="6">
        <f>[1]BASE!BV303</f>
        <v>0</v>
      </c>
      <c r="AR43" s="6">
        <f>[1]BASE!BW303</f>
        <v>0</v>
      </c>
      <c r="AS43" s="6">
        <f>[1]BASE!BX303</f>
        <v>0</v>
      </c>
      <c r="AT43" s="9">
        <f t="shared" si="2"/>
        <v>427929982.61299998</v>
      </c>
      <c r="AU43" s="9">
        <f t="shared" si="3"/>
        <v>409993379.69000006</v>
      </c>
      <c r="AV43" s="9">
        <f t="shared" si="4"/>
        <v>278535297.25685358</v>
      </c>
    </row>
    <row r="44" spans="1:48" x14ac:dyDescent="0.35">
      <c r="A44" s="4" t="str">
        <f>[1]BASE!H312</f>
        <v>PETROLEO</v>
      </c>
      <c r="B44" s="4" t="str">
        <f>[1]BASE!I312</f>
        <v>YPF</v>
      </c>
      <c r="C44" s="4">
        <f>[1]BASE!J312</f>
        <v>0</v>
      </c>
      <c r="D44" s="4" t="str">
        <f>[1]BASE!K312</f>
        <v>FIJO</v>
      </c>
      <c r="E44" s="4" t="str">
        <f>[1]BASE!L312</f>
        <v>AJUSTE TARIFARIO C505258</v>
      </c>
      <c r="F44" s="4" t="str">
        <f>[1]BASE!M312</f>
        <v>VENTAS</v>
      </c>
      <c r="G44" s="4" t="str">
        <f>[1]BASE!N312</f>
        <v>ARS</v>
      </c>
      <c r="H44" s="4" t="str">
        <f>[1]BASE!CL312</f>
        <v xml:space="preserve">BAU </v>
      </c>
      <c r="I44" s="5">
        <v>1</v>
      </c>
      <c r="J44" s="8">
        <f>[1]BASE!AO312</f>
        <v>-15324157.230000004</v>
      </c>
      <c r="K44" s="6">
        <f>[1]BASE!AP312</f>
        <v>-13924870.019999992</v>
      </c>
      <c r="L44" s="6">
        <f>[1]BASE!AQ312</f>
        <v>-7170212.7100000046</v>
      </c>
      <c r="M44" s="6">
        <f>[1]BASE!AR312</f>
        <v>2445429.200000003</v>
      </c>
      <c r="N44" s="6">
        <f>[1]BASE!AS312</f>
        <v>101605525.86</v>
      </c>
      <c r="O44" s="6">
        <f>[1]BASE!AT312</f>
        <v>10299301.969999999</v>
      </c>
      <c r="P44" s="6">
        <f>[1]BASE!AU312</f>
        <v>-26179921.850000039</v>
      </c>
      <c r="Q44" s="6">
        <f>[1]BASE!AV312</f>
        <v>39934896.860000007</v>
      </c>
      <c r="R44" s="6">
        <f>[1]BASE!AW312</f>
        <v>-73994327.579999983</v>
      </c>
      <c r="S44" s="6">
        <f>[1]BASE!AX312</f>
        <v>2852310.3200000077</v>
      </c>
      <c r="T44" s="6">
        <f>[1]BASE!AY312</f>
        <v>51289772.280000001</v>
      </c>
      <c r="U44" s="6">
        <f>[1]BASE!AZ312</f>
        <v>-46364325.870000005</v>
      </c>
      <c r="V44" s="6">
        <f>[1]BASE!BA312</f>
        <v>44367249.56000001</v>
      </c>
      <c r="W44" s="6">
        <f>[1]BASE!BB312</f>
        <v>-673243.37999999523</v>
      </c>
      <c r="X44" s="6">
        <f>[1]BASE!BC312</f>
        <v>3588691.9099999964</v>
      </c>
      <c r="Y44" s="6">
        <f>[1]BASE!BD312</f>
        <v>45791002.060000002</v>
      </c>
      <c r="Z44" s="6">
        <f>[1]BASE!BE312</f>
        <v>7239057.2799999565</v>
      </c>
      <c r="AA44" s="6">
        <f>[1]BASE!BF312</f>
        <v>-79999604.770000041</v>
      </c>
      <c r="AB44" s="6">
        <f>[1]BASE!BG312</f>
        <v>38502567.870000005</v>
      </c>
      <c r="AC44" s="6">
        <f>[1]BASE!BH312</f>
        <v>38502567.869999997</v>
      </c>
      <c r="AD44" s="6">
        <f>[1]BASE!BI312</f>
        <v>-154070992.02000004</v>
      </c>
      <c r="AE44" s="6">
        <f>[1]BASE!BJ312</f>
        <v>-1.6298145055770874E-9</v>
      </c>
      <c r="AF44" s="6">
        <f>[1]BASE!BK312</f>
        <v>-1.6298145055770874E-9</v>
      </c>
      <c r="AG44" s="6">
        <f>[1]BASE!BL312</f>
        <v>5.8207660913467407E-9</v>
      </c>
      <c r="AH44" s="6">
        <f>[1]BASE!BM312</f>
        <v>-1861909.7600000033</v>
      </c>
      <c r="AI44" s="6">
        <f>[1]BASE!BN312</f>
        <v>0</v>
      </c>
      <c r="AJ44" s="6">
        <f>[1]BASE!BO312</f>
        <v>-1.6298145055770874E-9</v>
      </c>
      <c r="AK44" s="6">
        <f>[1]BASE!BP312</f>
        <v>-1.6298145055770874E-9</v>
      </c>
      <c r="AL44" s="6">
        <f>[1]BASE!BQ312</f>
        <v>0</v>
      </c>
      <c r="AM44" s="6">
        <f>[1]BASE!BR312</f>
        <v>0</v>
      </c>
      <c r="AN44" s="6">
        <f>[1]BASE!BS312</f>
        <v>0</v>
      </c>
      <c r="AO44" s="6">
        <f>[1]BASE!BT312</f>
        <v>0</v>
      </c>
      <c r="AP44" s="6">
        <f>[1]BASE!BU312</f>
        <v>0</v>
      </c>
      <c r="AQ44" s="6">
        <f>[1]BASE!BV312</f>
        <v>0</v>
      </c>
      <c r="AR44" s="6">
        <f>[1]BASE!BW312</f>
        <v>0</v>
      </c>
      <c r="AS44" s="6">
        <f>[1]BASE!BX312</f>
        <v>0</v>
      </c>
      <c r="AT44" s="9">
        <f t="shared" si="2"/>
        <v>25469421.229999974</v>
      </c>
      <c r="AU44" s="9">
        <f t="shared" si="3"/>
        <v>-56752703.620000117</v>
      </c>
      <c r="AV44" s="9">
        <f t="shared" si="4"/>
        <v>-1861909.7600000065</v>
      </c>
    </row>
    <row r="45" spans="1:48" x14ac:dyDescent="0.35">
      <c r="A45" s="4" t="str">
        <f>[1]BASE!H321</f>
        <v>PETROLEO</v>
      </c>
      <c r="B45" s="4" t="str">
        <f>[1]BASE!I321</f>
        <v xml:space="preserve">YPF REGIÓN 1  Urg y Emer </v>
      </c>
      <c r="C45" s="4">
        <f>[1]BASE!J321</f>
        <v>0</v>
      </c>
      <c r="D45" s="4" t="str">
        <f>[1]BASE!K321</f>
        <v>FIJO</v>
      </c>
      <c r="E45" s="4" t="str">
        <f>[1]BASE!L321</f>
        <v xml:space="preserve">YPF REGIÓN 1  Urg y Emer </v>
      </c>
      <c r="F45" s="4" t="str">
        <f>[1]BASE!M321</f>
        <v>VENTAS</v>
      </c>
      <c r="G45" s="4" t="str">
        <f>[1]BASE!N321</f>
        <v>ARS</v>
      </c>
      <c r="H45" s="4" t="str">
        <f>[1]BASE!CL321</f>
        <v xml:space="preserve">BAU </v>
      </c>
      <c r="I45" s="5">
        <v>1</v>
      </c>
      <c r="J45" s="8">
        <f>[1]BASE!AO321</f>
        <v>39467480.52099999</v>
      </c>
      <c r="K45" s="6">
        <f>[1]BASE!AP321</f>
        <v>50531593.92899999</v>
      </c>
      <c r="L45" s="6">
        <f>[1]BASE!AQ321</f>
        <v>55374481.066999987</v>
      </c>
      <c r="M45" s="6">
        <f>[1]BASE!AR321</f>
        <v>49359059.131000027</v>
      </c>
      <c r="N45" s="6">
        <f>[1]BASE!AS321</f>
        <v>64013226.573000006</v>
      </c>
      <c r="O45" s="6">
        <f>[1]BASE!AT321</f>
        <v>70446535.257000029</v>
      </c>
      <c r="P45" s="6">
        <f>[1]BASE!AU321</f>
        <v>99356303.471000016</v>
      </c>
      <c r="Q45" s="6">
        <f>[1]BASE!AV321</f>
        <v>76875326.47299999</v>
      </c>
      <c r="R45" s="6">
        <f>[1]BASE!AW321</f>
        <v>83759373.603999972</v>
      </c>
      <c r="S45" s="6">
        <f>[1]BASE!AX321</f>
        <v>88585646.312999979</v>
      </c>
      <c r="T45" s="6">
        <f>[1]BASE!AY321</f>
        <v>93881838.952000007</v>
      </c>
      <c r="U45" s="6">
        <f>[1]BASE!AZ321</f>
        <v>95451318.555000037</v>
      </c>
      <c r="V45" s="6">
        <f>[1]BASE!BA321</f>
        <v>93114835.653000012</v>
      </c>
      <c r="W45" s="6">
        <f>[1]BASE!BB321</f>
        <v>95502398.48300001</v>
      </c>
      <c r="X45" s="6">
        <f>[1]BASE!BC321</f>
        <v>101021140.272</v>
      </c>
      <c r="Y45" s="6">
        <f>[1]BASE!BD321</f>
        <v>103994816.62099998</v>
      </c>
      <c r="Z45" s="6">
        <f>[1]BASE!BE321</f>
        <v>104000565.102</v>
      </c>
      <c r="AA45" s="6">
        <f>[1]BASE!BF321</f>
        <v>115088022.442</v>
      </c>
      <c r="AB45" s="6">
        <f>[1]BASE!BG321</f>
        <v>110183962.58100002</v>
      </c>
      <c r="AC45" s="6">
        <f>[1]BASE!BH321</f>
        <v>107336446.10800001</v>
      </c>
      <c r="AD45" s="6">
        <f>[1]BASE!BI321</f>
        <v>110045548.64</v>
      </c>
      <c r="AE45" s="6">
        <f>[1]BASE!BJ321</f>
        <v>117763322.53100002</v>
      </c>
      <c r="AF45" s="6">
        <f>[1]BASE!BK321</f>
        <v>117781178.35100001</v>
      </c>
      <c r="AG45" s="6">
        <f>[1]BASE!BL321</f>
        <v>167568078.11999997</v>
      </c>
      <c r="AH45" s="6">
        <f>[1]BASE!BM321</f>
        <v>120055737.72000001</v>
      </c>
      <c r="AI45" s="6">
        <f>[1]BASE!BN321</f>
        <v>118933174.10300003</v>
      </c>
      <c r="AJ45" s="6">
        <f>[1]BASE!BO321</f>
        <v>125164459.03100006</v>
      </c>
      <c r="AK45" s="6">
        <f>[1]BASE!BP321</f>
        <v>128472239.47999999</v>
      </c>
      <c r="AL45" s="6">
        <f>[1]BASE!BQ321</f>
        <v>135480998.13252082</v>
      </c>
      <c r="AM45" s="6">
        <f>[1]BASE!BR321</f>
        <v>139068719.29186898</v>
      </c>
      <c r="AN45" s="6">
        <f>[1]BASE!BS321</f>
        <v>142424144.2018199</v>
      </c>
      <c r="AO45" s="6">
        <f>[1]BASE!BT321</f>
        <v>145931685.44490102</v>
      </c>
      <c r="AP45" s="6">
        <f>[1]BASE!BU321</f>
        <v>149203574.98992798</v>
      </c>
      <c r="AQ45" s="6">
        <f>[1]BASE!BV321</f>
        <v>152214297.80890799</v>
      </c>
      <c r="AR45" s="6">
        <f>[1]BASE!BW321</f>
        <v>154978625.36498234</v>
      </c>
      <c r="AS45" s="6">
        <f>[1]BASE!BX321</f>
        <v>157643123.30792707</v>
      </c>
      <c r="AT45" s="9">
        <f t="shared" si="2"/>
        <v>867102183.84600008</v>
      </c>
      <c r="AU45" s="9">
        <f t="shared" si="3"/>
        <v>1343400314.904</v>
      </c>
      <c r="AV45" s="9">
        <f t="shared" si="4"/>
        <v>1669570778.8768563</v>
      </c>
    </row>
    <row r="46" spans="1:48" x14ac:dyDescent="0.35">
      <c r="A46" s="4" t="str">
        <f>[1]BASE!H330</f>
        <v>MINERIA</v>
      </c>
      <c r="B46" s="4" t="str">
        <f>[1]BASE!I330</f>
        <v>Ganfeng</v>
      </c>
      <c r="C46" s="4">
        <f>[1]BASE!J330</f>
        <v>0</v>
      </c>
      <c r="D46" s="4" t="str">
        <f>[1]BASE!K330</f>
        <v>Minería</v>
      </c>
      <c r="E46" s="4" t="str">
        <f>[1]BASE!L330</f>
        <v>PPG</v>
      </c>
      <c r="F46" s="4" t="str">
        <f>[1]BASE!M330</f>
        <v>VENTAS</v>
      </c>
      <c r="G46" s="4" t="str">
        <f>[1]BASE!N330</f>
        <v>ARS</v>
      </c>
      <c r="H46" s="4" t="str">
        <f>[1]BASE!CL330</f>
        <v>BAU bis</v>
      </c>
      <c r="I46" s="5">
        <v>1</v>
      </c>
      <c r="J46" s="8">
        <f>[1]BASE!AO330</f>
        <v>11478471.520999998</v>
      </c>
      <c r="K46" s="6">
        <f>[1]BASE!AP330</f>
        <v>12561506.151000001</v>
      </c>
      <c r="L46" s="6">
        <f>[1]BASE!AQ330</f>
        <v>14537828.9009875</v>
      </c>
      <c r="M46" s="6">
        <f>[1]BASE!AR330</f>
        <v>16646224.059999999</v>
      </c>
      <c r="N46" s="6">
        <f>[1]BASE!AS330</f>
        <v>15296492.888999999</v>
      </c>
      <c r="O46" s="6">
        <f>[1]BASE!AT330</f>
        <v>17035052.399000004</v>
      </c>
      <c r="P46" s="6">
        <f>[1]BASE!AU330</f>
        <v>26997186.882999994</v>
      </c>
      <c r="Q46" s="6">
        <f>[1]BASE!AV330</f>
        <v>22233818.370000001</v>
      </c>
      <c r="R46" s="6">
        <f>[1]BASE!AW330</f>
        <v>21380902.979999989</v>
      </c>
      <c r="S46" s="6">
        <f>[1]BASE!AX330</f>
        <v>24442704.760000002</v>
      </c>
      <c r="T46" s="6">
        <f>[1]BASE!AY330</f>
        <v>25268216.311000001</v>
      </c>
      <c r="U46" s="6">
        <f>[1]BASE!AZ330</f>
        <v>26066643.821000002</v>
      </c>
      <c r="V46" s="6">
        <f>[1]BASE!BA330</f>
        <v>26075742.061000001</v>
      </c>
      <c r="W46" s="6">
        <f>[1]BASE!BB330</f>
        <v>26614450.400999997</v>
      </c>
      <c r="X46" s="6">
        <f>[1]BASE!BC330</f>
        <v>27353252.559999999</v>
      </c>
      <c r="Y46" s="6">
        <f>[1]BASE!BD330</f>
        <v>28182618.841000002</v>
      </c>
      <c r="Z46" s="6">
        <f>[1]BASE!BE330</f>
        <v>27731046.043000001</v>
      </c>
      <c r="AA46" s="6">
        <f>[1]BASE!BF330</f>
        <v>28570130.323000003</v>
      </c>
      <c r="AB46" s="6">
        <f>[1]BASE!BG330</f>
        <v>28365449.423</v>
      </c>
      <c r="AC46" s="6">
        <f>[1]BASE!BH330</f>
        <v>0</v>
      </c>
      <c r="AD46" s="6">
        <f>[1]BASE!BI330</f>
        <v>82403.930999998003</v>
      </c>
      <c r="AE46" s="6">
        <f>[1]BASE!BJ330</f>
        <v>0</v>
      </c>
      <c r="AF46" s="6">
        <f>[1]BASE!BK330</f>
        <v>0</v>
      </c>
      <c r="AG46" s="6">
        <f>[1]BASE!BL330</f>
        <v>0</v>
      </c>
      <c r="AH46" s="6">
        <f>[1]BASE!BM330</f>
        <v>0</v>
      </c>
      <c r="AI46" s="6">
        <f>[1]BASE!BN330</f>
        <v>0</v>
      </c>
      <c r="AJ46" s="6">
        <f>[1]BASE!BO330</f>
        <v>0</v>
      </c>
      <c r="AK46" s="6">
        <f>[1]BASE!BP330</f>
        <v>0</v>
      </c>
      <c r="AL46" s="6">
        <f>[1]BASE!BQ330</f>
        <v>9761178.3876096178</v>
      </c>
      <c r="AM46" s="6">
        <f>[1]BASE!BR330</f>
        <v>19481746.076441802</v>
      </c>
      <c r="AN46" s="6">
        <f>[1]BASE!BS330</f>
        <v>29414985.151843391</v>
      </c>
      <c r="AO46" s="6">
        <f>[1]BASE!BT330</f>
        <v>29738549.988513667</v>
      </c>
      <c r="AP46" s="6">
        <f>[1]BASE!BU330</f>
        <v>30065674.038387313</v>
      </c>
      <c r="AQ46" s="6">
        <f>[1]BASE!BV330</f>
        <v>30396396.452809568</v>
      </c>
      <c r="AR46" s="6">
        <f>[1]BASE!BW330</f>
        <v>30730756.813790474</v>
      </c>
      <c r="AS46" s="6">
        <f>[1]BASE!BX330</f>
        <v>31068795.138742164</v>
      </c>
      <c r="AT46" s="9">
        <f t="shared" si="2"/>
        <v>233945049.04598749</v>
      </c>
      <c r="AU46" s="9">
        <f t="shared" si="3"/>
        <v>192975093.58300003</v>
      </c>
      <c r="AV46" s="9">
        <f t="shared" si="4"/>
        <v>210658082.04813796</v>
      </c>
    </row>
    <row r="47" spans="1:48" x14ac:dyDescent="0.35">
      <c r="A47" s="4" t="str">
        <f>[1]BASE!H339</f>
        <v>PETROLEO</v>
      </c>
      <c r="B47" s="4" t="str">
        <f>[1]BASE!I339</f>
        <v>Petróleo - Área Protegida</v>
      </c>
      <c r="C47" s="4">
        <f>[1]BASE!J339</f>
        <v>0</v>
      </c>
      <c r="D47" s="4" t="str">
        <f>[1]BASE!K339</f>
        <v>AP</v>
      </c>
      <c r="E47" s="4" t="str">
        <f>[1]BASE!L339</f>
        <v>Petróleo - Área Protegida</v>
      </c>
      <c r="F47" s="4" t="str">
        <f>[1]BASE!M339</f>
        <v>VENTAS</v>
      </c>
      <c r="G47" s="4" t="str">
        <f>[1]BASE!N339</f>
        <v>ARS</v>
      </c>
      <c r="H47" s="4" t="str">
        <f>[1]BASE!CL339</f>
        <v xml:space="preserve">BAU </v>
      </c>
      <c r="I47" s="5">
        <v>1</v>
      </c>
      <c r="J47" s="8">
        <f>[1]BASE!AO339</f>
        <v>206225.35</v>
      </c>
      <c r="K47" s="6">
        <f>[1]BASE!AP339</f>
        <v>245254.82</v>
      </c>
      <c r="L47" s="6">
        <f>[1]BASE!AQ339</f>
        <v>-257697.68</v>
      </c>
      <c r="M47" s="6">
        <f>[1]BASE!AR339</f>
        <v>79625</v>
      </c>
      <c r="N47" s="6">
        <f>[1]BASE!AS339</f>
        <v>192115.39</v>
      </c>
      <c r="O47" s="6">
        <f>[1]BASE!AT339</f>
        <v>23590.000000000029</v>
      </c>
      <c r="P47" s="6">
        <f>[1]BASE!AU339</f>
        <v>0</v>
      </c>
      <c r="Q47" s="6">
        <f>[1]BASE!AV339</f>
        <v>256004.89</v>
      </c>
      <c r="R47" s="6">
        <f>[1]BASE!AW339</f>
        <v>259896.89</v>
      </c>
      <c r="S47" s="6">
        <f>[1]BASE!AX339</f>
        <v>230055.89</v>
      </c>
      <c r="T47" s="6">
        <f>[1]BASE!AY339</f>
        <v>293914.89</v>
      </c>
      <c r="U47" s="6">
        <f>[1]BASE!AZ339</f>
        <v>264073.88999999966</v>
      </c>
      <c r="V47" s="6">
        <f>[1]BASE!BA339</f>
        <v>264073.89</v>
      </c>
      <c r="W47" s="6">
        <f>[1]BASE!BB339</f>
        <v>264073.89</v>
      </c>
      <c r="X47" s="6">
        <f>[1]BASE!BC339</f>
        <v>264073.89</v>
      </c>
      <c r="Y47" s="6">
        <f>[1]BASE!BD339</f>
        <v>264073.89</v>
      </c>
      <c r="Z47" s="6">
        <f>[1]BASE!BE339</f>
        <v>344349.89</v>
      </c>
      <c r="AA47" s="6">
        <f>[1]BASE!BF339</f>
        <v>266291.13</v>
      </c>
      <c r="AB47" s="6">
        <f>[1]BASE!BG339</f>
        <v>460903.89</v>
      </c>
      <c r="AC47" s="6">
        <f>[1]BASE!BH339</f>
        <v>1335463.1399999999</v>
      </c>
      <c r="AD47" s="6">
        <f>[1]BASE!BI339</f>
        <v>784561.69</v>
      </c>
      <c r="AE47" s="6">
        <f>[1]BASE!BJ339</f>
        <v>827146.73</v>
      </c>
      <c r="AF47" s="6">
        <f>[1]BASE!BK339</f>
        <v>6706904.6799999997</v>
      </c>
      <c r="AG47" s="6">
        <f>[1]BASE!BL339</f>
        <v>932285.24000000011</v>
      </c>
      <c r="AH47" s="6">
        <f>[1]BASE!BM339</f>
        <v>932282.70000000007</v>
      </c>
      <c r="AI47" s="6">
        <f>[1]BASE!BN339</f>
        <v>1886119.0999999999</v>
      </c>
      <c r="AJ47" s="6">
        <f>[1]BASE!BO339</f>
        <v>1300444.3</v>
      </c>
      <c r="AK47" s="6">
        <f>[1]BASE!BP339</f>
        <v>5032240.5600000005</v>
      </c>
      <c r="AL47" s="6">
        <f>[1]BASE!BQ339</f>
        <v>2027609.7565505747</v>
      </c>
      <c r="AM47" s="6">
        <f>[1]BASE!BR339</f>
        <v>2076169.3469947861</v>
      </c>
      <c r="AN47" s="6">
        <f>[1]BASE!BS339</f>
        <v>2128073.5806696555</v>
      </c>
      <c r="AO47" s="6">
        <f>[1]BASE!BT339</f>
        <v>2176611.612025585</v>
      </c>
      <c r="AP47" s="6">
        <f>[1]BASE!BU339</f>
        <v>2221292.2091959333</v>
      </c>
      <c r="AQ47" s="6">
        <f>[1]BASE!BV339</f>
        <v>2262330.2132493611</v>
      </c>
      <c r="AR47" s="6">
        <f>[1]BASE!BW339</f>
        <v>2299946.7701658476</v>
      </c>
      <c r="AS47" s="6">
        <f>[1]BASE!BX339</f>
        <v>2345837.1948676803</v>
      </c>
      <c r="AT47" s="9">
        <f t="shared" si="2"/>
        <v>1793059.33</v>
      </c>
      <c r="AU47" s="9">
        <f t="shared" si="3"/>
        <v>12714201.950000001</v>
      </c>
      <c r="AV47" s="9">
        <f t="shared" si="4"/>
        <v>26688957.343719427</v>
      </c>
    </row>
    <row r="48" spans="1:48" x14ac:dyDescent="0.35">
      <c r="A48" s="4" t="str">
        <f>[1]BASE!H345</f>
        <v>PETROLEO</v>
      </c>
      <c r="B48" s="4" t="str">
        <f>[1]BASE!I345</f>
        <v>Petróleo - DEA</v>
      </c>
      <c r="C48" s="4">
        <f>[1]BASE!J345</f>
        <v>0</v>
      </c>
      <c r="D48" s="4" t="str">
        <f>[1]BASE!K345</f>
        <v>DEA</v>
      </c>
      <c r="E48" s="4" t="str">
        <f>[1]BASE!L345</f>
        <v>Petróleo - DEA</v>
      </c>
      <c r="F48" s="4" t="str">
        <f>[1]BASE!M345</f>
        <v>VENTAS</v>
      </c>
      <c r="G48" s="4" t="str">
        <f>[1]BASE!N345</f>
        <v>ARS</v>
      </c>
      <c r="H48" s="4" t="str">
        <f>[1]BASE!CL345</f>
        <v xml:space="preserve">ELIMINAR </v>
      </c>
      <c r="I48" s="5">
        <v>1</v>
      </c>
      <c r="J48" s="8">
        <f>[1]BASE!AO345</f>
        <v>3536.4700000000012</v>
      </c>
      <c r="K48" s="6">
        <f>[1]BASE!AP345</f>
        <v>4243.760000000002</v>
      </c>
      <c r="L48" s="6">
        <f>[1]BASE!AQ345</f>
        <v>-25462.58</v>
      </c>
      <c r="M48" s="6">
        <f>[1]BASE!AR345</f>
        <v>0</v>
      </c>
      <c r="N48" s="6">
        <f>[1]BASE!AS345</f>
        <v>0</v>
      </c>
      <c r="O48" s="6">
        <f>[1]BASE!AT345</f>
        <v>0</v>
      </c>
      <c r="P48" s="6">
        <f>[1]BASE!AU345</f>
        <v>0</v>
      </c>
      <c r="Q48" s="6">
        <f>[1]BASE!AV345</f>
        <v>0</v>
      </c>
      <c r="R48" s="6">
        <f>[1]BASE!AW345</f>
        <v>0</v>
      </c>
      <c r="S48" s="6">
        <f>[1]BASE!AX345</f>
        <v>0</v>
      </c>
      <c r="T48" s="6">
        <f>[1]BASE!AY345</f>
        <v>0</v>
      </c>
      <c r="U48" s="6">
        <f>[1]BASE!AZ345</f>
        <v>0</v>
      </c>
      <c r="V48" s="6">
        <f>[1]BASE!BA345</f>
        <v>0</v>
      </c>
      <c r="W48" s="6">
        <f>[1]BASE!BB345</f>
        <v>0</v>
      </c>
      <c r="X48" s="6">
        <f>[1]BASE!BC345</f>
        <v>0</v>
      </c>
      <c r="Y48" s="6">
        <f>[1]BASE!BD345</f>
        <v>0</v>
      </c>
      <c r="Z48" s="6">
        <f>[1]BASE!BE345</f>
        <v>0</v>
      </c>
      <c r="AA48" s="6">
        <f>[1]BASE!BF345</f>
        <v>0</v>
      </c>
      <c r="AB48" s="6">
        <f>[1]BASE!BG345</f>
        <v>0</v>
      </c>
      <c r="AC48" s="6">
        <f>[1]BASE!BH345</f>
        <v>0</v>
      </c>
      <c r="AD48" s="6">
        <f>[1]BASE!BI345</f>
        <v>0</v>
      </c>
      <c r="AE48" s="6">
        <f>[1]BASE!BJ345</f>
        <v>0</v>
      </c>
      <c r="AF48" s="6">
        <f>[1]BASE!BK345</f>
        <v>0</v>
      </c>
      <c r="AG48" s="6">
        <f>[1]BASE!BL345</f>
        <v>0</v>
      </c>
      <c r="AH48" s="6">
        <f>[1]BASE!BM345</f>
        <v>0</v>
      </c>
      <c r="AI48" s="6">
        <f>[1]BASE!BN345</f>
        <v>0</v>
      </c>
      <c r="AJ48" s="6">
        <f>[1]BASE!BO345</f>
        <v>0</v>
      </c>
      <c r="AK48" s="6">
        <f>[1]BASE!BP345</f>
        <v>0</v>
      </c>
      <c r="AL48" s="6">
        <f>[1]BASE!BQ345</f>
        <v>0</v>
      </c>
      <c r="AM48" s="6">
        <f>[1]BASE!BR345</f>
        <v>0</v>
      </c>
      <c r="AN48" s="6">
        <f>[1]BASE!BS345</f>
        <v>0</v>
      </c>
      <c r="AO48" s="6">
        <f>[1]BASE!BT345</f>
        <v>0</v>
      </c>
      <c r="AP48" s="6">
        <f>[1]BASE!BU345</f>
        <v>0</v>
      </c>
      <c r="AQ48" s="6">
        <f>[1]BASE!BV345</f>
        <v>0</v>
      </c>
      <c r="AR48" s="6">
        <f>[1]BASE!BW345</f>
        <v>0</v>
      </c>
      <c r="AS48" s="6">
        <f>[1]BASE!BX345</f>
        <v>0</v>
      </c>
      <c r="AT48" s="9">
        <f t="shared" si="2"/>
        <v>-17682.349999999999</v>
      </c>
      <c r="AU48" s="9">
        <f t="shared" si="3"/>
        <v>0</v>
      </c>
      <c r="AV48" s="9">
        <f t="shared" si="4"/>
        <v>0</v>
      </c>
    </row>
    <row r="49" spans="1:48" x14ac:dyDescent="0.35">
      <c r="A49" s="4" t="str">
        <f>[1]BASE!H349</f>
        <v>MINERIA</v>
      </c>
      <c r="B49" s="4" t="str">
        <f>[1]BASE!I349</f>
        <v>Lundin GOLD</v>
      </c>
      <c r="C49" s="4" t="str">
        <f>[1]BASE!J349</f>
        <v>N/A</v>
      </c>
      <c r="D49" s="4" t="str">
        <f>[1]BASE!K349</f>
        <v>Minería</v>
      </c>
      <c r="E49" s="4" t="str">
        <f>[1]BASE!L349</f>
        <v>Don peter</v>
      </c>
      <c r="F49" s="4" t="str">
        <f>[1]BASE!M349</f>
        <v>VENTAS</v>
      </c>
      <c r="G49" s="4" t="str">
        <f>[1]BASE!N349</f>
        <v>ARS</v>
      </c>
      <c r="H49" s="4" t="str">
        <f>[1]BASE!CL349</f>
        <v xml:space="preserve">BAU </v>
      </c>
      <c r="I49" s="5">
        <v>1</v>
      </c>
      <c r="J49" s="8">
        <f>[1]BASE!AO349</f>
        <v>28054198.149999999</v>
      </c>
      <c r="K49" s="6">
        <f>[1]BASE!AP349</f>
        <v>28054198.149999999</v>
      </c>
      <c r="L49" s="6">
        <f>[1]BASE!AQ349</f>
        <v>49263172.160000004</v>
      </c>
      <c r="M49" s="6">
        <f>[1]BASE!AR349</f>
        <v>40846912.509999998</v>
      </c>
      <c r="N49" s="6">
        <f>[1]BASE!AS349</f>
        <v>0</v>
      </c>
      <c r="O49" s="6">
        <f>[1]BASE!AT349</f>
        <v>0</v>
      </c>
      <c r="P49" s="6">
        <f>[1]BASE!AU349</f>
        <v>0</v>
      </c>
      <c r="Q49" s="6">
        <f>[1]BASE!AV349</f>
        <v>0</v>
      </c>
      <c r="R49" s="6">
        <f>[1]BASE!AW349</f>
        <v>1208400.1000000001</v>
      </c>
      <c r="S49" s="6">
        <f>[1]BASE!AX349</f>
        <v>31912209.439999998</v>
      </c>
      <c r="T49" s="6">
        <f>[1]BASE!AY349</f>
        <v>41838761.325000003</v>
      </c>
      <c r="U49" s="6">
        <f>[1]BASE!AZ349</f>
        <v>40183750</v>
      </c>
      <c r="V49" s="6">
        <f>[1]BASE!BA349</f>
        <v>40677812.5</v>
      </c>
      <c r="W49" s="6">
        <f>[1]BASE!BB349</f>
        <v>40737817.969999999</v>
      </c>
      <c r="X49" s="6">
        <f>[1]BASE!BC349</f>
        <v>41732789.560000002</v>
      </c>
      <c r="Y49" s="6">
        <f>[1]BASE!BD349</f>
        <v>46277187.5</v>
      </c>
      <c r="Z49" s="6">
        <f>[1]BASE!BE349</f>
        <v>17665774.334999993</v>
      </c>
      <c r="AA49" s="6">
        <f>[1]BASE!BF349</f>
        <v>0</v>
      </c>
      <c r="AB49" s="6">
        <f>[1]BASE!BG349</f>
        <v>0</v>
      </c>
      <c r="AC49" s="6">
        <f>[1]BASE!BH349</f>
        <v>0</v>
      </c>
      <c r="AD49" s="6">
        <f>[1]BASE!BI349</f>
        <v>16406916.6</v>
      </c>
      <c r="AE49" s="6">
        <f>[1]BASE!BJ349</f>
        <v>54526987.635000005</v>
      </c>
      <c r="AF49" s="6">
        <f>[1]BASE!BK349</f>
        <v>54987728.349999994</v>
      </c>
      <c r="AG49" s="6">
        <f>[1]BASE!BL349</f>
        <v>56658566.330000006</v>
      </c>
      <c r="AH49" s="6">
        <f>[1]BASE!BM349</f>
        <v>55585372.799999997</v>
      </c>
      <c r="AI49" s="6">
        <f>[1]BASE!BN349</f>
        <v>53371534.920000002</v>
      </c>
      <c r="AJ49" s="6">
        <f>[1]BASE!BO349</f>
        <v>55015816.079999998</v>
      </c>
      <c r="AK49" s="6">
        <f>[1]BASE!BP349</f>
        <v>53434790.439999998</v>
      </c>
      <c r="AL49" s="6">
        <f>[1]BASE!BQ349</f>
        <v>0</v>
      </c>
      <c r="AM49" s="6">
        <f>[1]BASE!BR349</f>
        <v>0</v>
      </c>
      <c r="AN49" s="6">
        <f>[1]BASE!BS349</f>
        <v>0</v>
      </c>
      <c r="AO49" s="6">
        <f>[1]BASE!BT349</f>
        <v>0</v>
      </c>
      <c r="AP49" s="6">
        <f>[1]BASE!BU349</f>
        <v>31462189.278625663</v>
      </c>
      <c r="AQ49" s="6">
        <f>[1]BASE!BV349</f>
        <v>63616546.721381083</v>
      </c>
      <c r="AR49" s="6">
        <f>[1]BASE!BW349</f>
        <v>64316328.735316269</v>
      </c>
      <c r="AS49" s="6">
        <f>[1]BASE!BX349</f>
        <v>65023808.351404749</v>
      </c>
      <c r="AT49" s="9">
        <f t="shared" si="2"/>
        <v>261361601.83499998</v>
      </c>
      <c r="AU49" s="9">
        <f t="shared" si="3"/>
        <v>369671580.78000003</v>
      </c>
      <c r="AV49" s="9">
        <f t="shared" si="4"/>
        <v>441826387.32672775</v>
      </c>
    </row>
    <row r="50" spans="1:48" x14ac:dyDescent="0.35">
      <c r="A50" s="4" t="str">
        <f>[1]BASE!H359</f>
        <v>OTRAS OP DEDICADAS</v>
      </c>
      <c r="B50" s="4" t="str">
        <f>[1]BASE!I359</f>
        <v>SACDE</v>
      </c>
      <c r="C50" s="4">
        <f>[1]BASE!J359</f>
        <v>0</v>
      </c>
      <c r="D50" s="4" t="str">
        <f>[1]BASE!K359</f>
        <v>AP</v>
      </c>
      <c r="E50" s="4" t="str">
        <f>[1]BASE!L359</f>
        <v>SACDE - Techint</v>
      </c>
      <c r="F50" s="4" t="str">
        <f>[1]BASE!M359</f>
        <v>VENTAS</v>
      </c>
      <c r="G50" s="4" t="str">
        <f>[1]BASE!N359</f>
        <v>ARS</v>
      </c>
      <c r="H50" s="4" t="str">
        <f>[1]BASE!CL359</f>
        <v xml:space="preserve">BAU </v>
      </c>
      <c r="I50" s="5">
        <v>1</v>
      </c>
      <c r="J50" s="8">
        <f>[1]BASE!AO359</f>
        <v>-356883.75</v>
      </c>
      <c r="K50" s="6">
        <f>[1]BASE!AP359</f>
        <v>4773.859999999986</v>
      </c>
      <c r="L50" s="6">
        <f>[1]BASE!AQ359</f>
        <v>0</v>
      </c>
      <c r="M50" s="6">
        <f>[1]BASE!AR359</f>
        <v>0</v>
      </c>
      <c r="N50" s="6">
        <f>[1]BASE!AS359</f>
        <v>0</v>
      </c>
      <c r="O50" s="6">
        <f>[1]BASE!AT359</f>
        <v>0</v>
      </c>
      <c r="P50" s="6">
        <f>[1]BASE!AU359</f>
        <v>0</v>
      </c>
      <c r="Q50" s="6">
        <f>[1]BASE!AV359</f>
        <v>0</v>
      </c>
      <c r="R50" s="6">
        <f>[1]BASE!AW359</f>
        <v>0</v>
      </c>
      <c r="S50" s="6">
        <f>[1]BASE!AX359</f>
        <v>0</v>
      </c>
      <c r="T50" s="6">
        <f>[1]BASE!AY359</f>
        <v>0</v>
      </c>
      <c r="U50" s="6">
        <f>[1]BASE!AZ359</f>
        <v>0</v>
      </c>
      <c r="V50" s="6">
        <f>[1]BASE!BA359</f>
        <v>0</v>
      </c>
      <c r="W50" s="6">
        <f>[1]BASE!BB359</f>
        <v>0</v>
      </c>
      <c r="X50" s="6">
        <f>[1]BASE!BC359</f>
        <v>0</v>
      </c>
      <c r="Y50" s="6">
        <f>[1]BASE!BD359</f>
        <v>0</v>
      </c>
      <c r="Z50" s="6">
        <f>[1]BASE!BE359</f>
        <v>0</v>
      </c>
      <c r="AA50" s="6">
        <f>[1]BASE!BF359</f>
        <v>0</v>
      </c>
      <c r="AB50" s="6">
        <f>[1]BASE!BG359</f>
        <v>0</v>
      </c>
      <c r="AC50" s="6">
        <f>[1]BASE!BH359</f>
        <v>0</v>
      </c>
      <c r="AD50" s="6">
        <f>[1]BASE!BI359</f>
        <v>0</v>
      </c>
      <c r="AE50" s="6">
        <f>[1]BASE!BJ359</f>
        <v>0</v>
      </c>
      <c r="AF50" s="6">
        <f>[1]BASE!BK359</f>
        <v>0</v>
      </c>
      <c r="AG50" s="6">
        <f>[1]BASE!BL359</f>
        <v>0</v>
      </c>
      <c r="AH50" s="6">
        <f>[1]BASE!BM359</f>
        <v>0</v>
      </c>
      <c r="AI50" s="6">
        <f>[1]BASE!BN359</f>
        <v>0</v>
      </c>
      <c r="AJ50" s="6">
        <f>[1]BASE!BO359</f>
        <v>0</v>
      </c>
      <c r="AK50" s="6">
        <f>[1]BASE!BP359</f>
        <v>0</v>
      </c>
      <c r="AL50" s="6">
        <f>[1]BASE!BQ359</f>
        <v>0</v>
      </c>
      <c r="AM50" s="6">
        <f>[1]BASE!BR359</f>
        <v>0</v>
      </c>
      <c r="AN50" s="6">
        <f>[1]BASE!BS359</f>
        <v>0</v>
      </c>
      <c r="AO50" s="6">
        <f>[1]BASE!BT359</f>
        <v>0</v>
      </c>
      <c r="AP50" s="6">
        <f>[1]BASE!BU359</f>
        <v>0</v>
      </c>
      <c r="AQ50" s="6">
        <f>[1]BASE!BV359</f>
        <v>0</v>
      </c>
      <c r="AR50" s="6">
        <f>[1]BASE!BW359</f>
        <v>0</v>
      </c>
      <c r="AS50" s="6">
        <f>[1]BASE!BX359</f>
        <v>0</v>
      </c>
      <c r="AT50" s="9">
        <f t="shared" si="2"/>
        <v>-352109.89</v>
      </c>
      <c r="AU50" s="9">
        <f t="shared" si="3"/>
        <v>0</v>
      </c>
      <c r="AV50" s="9">
        <f t="shared" si="4"/>
        <v>0</v>
      </c>
    </row>
    <row r="51" spans="1:48" x14ac:dyDescent="0.35">
      <c r="A51" s="4" t="str">
        <f>[1]BASE!H368</f>
        <v>MINERIA</v>
      </c>
      <c r="B51" s="4" t="str">
        <f>[1]BASE!I368</f>
        <v>AGV- Servicios Mineros</v>
      </c>
      <c r="C51" s="4">
        <f>[1]BASE!J368</f>
        <v>0</v>
      </c>
      <c r="D51" s="4" t="str">
        <f>[1]BASE!K368</f>
        <v>AP</v>
      </c>
      <c r="E51" s="4" t="str">
        <f>[1]BASE!L368</f>
        <v>Proyecto Tren Belgrano</v>
      </c>
      <c r="F51" s="4" t="str">
        <f>[1]BASE!M368</f>
        <v>VENTAS</v>
      </c>
      <c r="G51" s="4" t="str">
        <f>[1]BASE!N368</f>
        <v>ARS</v>
      </c>
      <c r="H51" s="4" t="str">
        <f>[1]BASE!CL368</f>
        <v>NN</v>
      </c>
      <c r="I51" s="5">
        <v>1</v>
      </c>
      <c r="J51" s="8">
        <f>[1]BASE!AO368</f>
        <v>0</v>
      </c>
      <c r="K51" s="6">
        <f>[1]BASE!AP368</f>
        <v>0</v>
      </c>
      <c r="L51" s="6">
        <f>[1]BASE!AQ368</f>
        <v>10153926</v>
      </c>
      <c r="M51" s="6">
        <f>[1]BASE!AR368</f>
        <v>10171224</v>
      </c>
      <c r="N51" s="6">
        <f>[1]BASE!AS368</f>
        <v>10384566</v>
      </c>
      <c r="O51" s="6">
        <f>[1]BASE!AT368</f>
        <v>-3391500.8600000003</v>
      </c>
      <c r="P51" s="6">
        <f>[1]BASE!AU368</f>
        <v>184576.44999999998</v>
      </c>
      <c r="Q51" s="6">
        <f>[1]BASE!AV368</f>
        <v>198338.97</v>
      </c>
      <c r="R51" s="6">
        <f>[1]BASE!AW368</f>
        <v>518682.62</v>
      </c>
      <c r="S51" s="6">
        <f>[1]BASE!AX368</f>
        <v>452294.52999999991</v>
      </c>
      <c r="T51" s="6">
        <f>[1]BASE!AY368</f>
        <v>109768.27</v>
      </c>
      <c r="U51" s="6">
        <f>[1]BASE!AZ368</f>
        <v>0</v>
      </c>
      <c r="V51" s="6">
        <f>[1]BASE!BA368</f>
        <v>0</v>
      </c>
      <c r="W51" s="6">
        <f>[1]BASE!BB368</f>
        <v>0</v>
      </c>
      <c r="X51" s="6">
        <f>[1]BASE!BC368</f>
        <v>163745.54999999999</v>
      </c>
      <c r="Y51" s="6">
        <f>[1]BASE!BD368</f>
        <v>91935.86</v>
      </c>
      <c r="Z51" s="6">
        <f>[1]BASE!BE368</f>
        <v>116383.55</v>
      </c>
      <c r="AA51" s="6">
        <f>[1]BASE!BF368</f>
        <v>0</v>
      </c>
      <c r="AB51" s="6">
        <f>[1]BASE!BG368</f>
        <v>0</v>
      </c>
      <c r="AC51" s="6">
        <f>[1]BASE!BH368</f>
        <v>0</v>
      </c>
      <c r="AD51" s="6">
        <f>[1]BASE!BI368</f>
        <v>0</v>
      </c>
      <c r="AE51" s="6">
        <f>[1]BASE!BJ368</f>
        <v>0</v>
      </c>
      <c r="AF51" s="6">
        <f>[1]BASE!BK368</f>
        <v>0</v>
      </c>
      <c r="AG51" s="6">
        <f>[1]BASE!BL368</f>
        <v>0</v>
      </c>
      <c r="AH51" s="6">
        <f>[1]BASE!BM368</f>
        <v>0</v>
      </c>
      <c r="AI51" s="6">
        <f>[1]BASE!BN368</f>
        <v>0</v>
      </c>
      <c r="AJ51" s="6">
        <f>[1]BASE!BO368</f>
        <v>0</v>
      </c>
      <c r="AK51" s="6">
        <f>[1]BASE!BP368</f>
        <v>0</v>
      </c>
      <c r="AL51" s="6">
        <f>[1]BASE!BQ368</f>
        <v>0</v>
      </c>
      <c r="AM51" s="6">
        <f>[1]BASE!BR368</f>
        <v>0</v>
      </c>
      <c r="AN51" s="6">
        <f>[1]BASE!BS368</f>
        <v>18319427.155598495</v>
      </c>
      <c r="AO51" s="6">
        <f>[1]BASE!BT368</f>
        <v>18520940.854310077</v>
      </c>
      <c r="AP51" s="6">
        <f>[1]BASE!BU368</f>
        <v>18724671.203707486</v>
      </c>
      <c r="AQ51" s="6">
        <f>[1]BASE!BV368</f>
        <v>18930642.586948264</v>
      </c>
      <c r="AR51" s="6">
        <f>[1]BASE!BW368</f>
        <v>19138879.655404694</v>
      </c>
      <c r="AS51" s="6">
        <f>[1]BASE!BX368</f>
        <v>19349407.331614144</v>
      </c>
      <c r="AT51" s="9">
        <f t="shared" si="2"/>
        <v>28781875.98</v>
      </c>
      <c r="AU51" s="9">
        <f t="shared" si="3"/>
        <v>372064.95999999996</v>
      </c>
      <c r="AV51" s="9">
        <f t="shared" si="4"/>
        <v>112983968.78758314</v>
      </c>
    </row>
    <row r="52" spans="1:48" x14ac:dyDescent="0.35">
      <c r="A52" s="4" t="str">
        <f>[1]BASE!H374</f>
        <v>PETROLEO</v>
      </c>
      <c r="B52" s="4" t="str">
        <f>[1]BASE!I374</f>
        <v>Petróleo - Eventos</v>
      </c>
      <c r="C52" s="4">
        <f>[1]BASE!J374</f>
        <v>0</v>
      </c>
      <c r="D52" s="4" t="str">
        <f>[1]BASE!K374</f>
        <v>DEA</v>
      </c>
      <c r="E52" s="4" t="str">
        <f>[1]BASE!L374</f>
        <v>Petróleo - Eventos</v>
      </c>
      <c r="F52" s="4" t="str">
        <f>[1]BASE!M374</f>
        <v>VENTAS</v>
      </c>
      <c r="G52" s="4" t="str">
        <f>[1]BASE!N374</f>
        <v>ARS</v>
      </c>
      <c r="H52" s="4" t="str">
        <f>[1]BASE!CL374</f>
        <v xml:space="preserve">ELIMINAR </v>
      </c>
      <c r="I52" s="5">
        <v>1</v>
      </c>
      <c r="J52" s="8">
        <f>[1]BASE!AO374</f>
        <v>0</v>
      </c>
      <c r="K52" s="6">
        <f>[1]BASE!AP374</f>
        <v>0</v>
      </c>
      <c r="L52" s="6">
        <f>[1]BASE!AQ374</f>
        <v>0</v>
      </c>
      <c r="M52" s="6">
        <f>[1]BASE!AR374</f>
        <v>0</v>
      </c>
      <c r="N52" s="6">
        <f>[1]BASE!AS374</f>
        <v>0</v>
      </c>
      <c r="O52" s="6">
        <f>[1]BASE!AT374</f>
        <v>0</v>
      </c>
      <c r="P52" s="6">
        <f>[1]BASE!AU374</f>
        <v>0</v>
      </c>
      <c r="Q52" s="6">
        <f>[1]BASE!AV374</f>
        <v>0</v>
      </c>
      <c r="R52" s="6">
        <f>[1]BASE!AW374</f>
        <v>0</v>
      </c>
      <c r="S52" s="6">
        <f>[1]BASE!AX374</f>
        <v>0</v>
      </c>
      <c r="T52" s="6">
        <f>[1]BASE!AY374</f>
        <v>0</v>
      </c>
      <c r="U52" s="6">
        <f>[1]BASE!AZ374</f>
        <v>0</v>
      </c>
      <c r="V52" s="6">
        <f>[1]BASE!BA374</f>
        <v>0</v>
      </c>
      <c r="W52" s="6">
        <f>[1]BASE!BB374</f>
        <v>0</v>
      </c>
      <c r="X52" s="6">
        <f>[1]BASE!BC374</f>
        <v>0</v>
      </c>
      <c r="Y52" s="6">
        <f>[1]BASE!BD374</f>
        <v>0</v>
      </c>
      <c r="Z52" s="6">
        <f>[1]BASE!BE374</f>
        <v>0</v>
      </c>
      <c r="AA52" s="6">
        <f>[1]BASE!BF374</f>
        <v>0</v>
      </c>
      <c r="AB52" s="6">
        <f>[1]BASE!BG374</f>
        <v>0</v>
      </c>
      <c r="AC52" s="6">
        <f>[1]BASE!BH374</f>
        <v>0</v>
      </c>
      <c r="AD52" s="6">
        <f>[1]BASE!BI374</f>
        <v>0</v>
      </c>
      <c r="AE52" s="6">
        <f>[1]BASE!BJ374</f>
        <v>0</v>
      </c>
      <c r="AF52" s="6">
        <f>[1]BASE!BK374</f>
        <v>0</v>
      </c>
      <c r="AG52" s="6">
        <f>[1]BASE!BL374</f>
        <v>0</v>
      </c>
      <c r="AH52" s="6">
        <f>[1]BASE!BM374</f>
        <v>0</v>
      </c>
      <c r="AI52" s="6">
        <f>[1]BASE!BN374</f>
        <v>0</v>
      </c>
      <c r="AJ52" s="6">
        <f>[1]BASE!BO374</f>
        <v>0</v>
      </c>
      <c r="AK52" s="6">
        <f>[1]BASE!BP374</f>
        <v>0</v>
      </c>
      <c r="AL52" s="6">
        <f>[1]BASE!BQ374</f>
        <v>0</v>
      </c>
      <c r="AM52" s="6">
        <f>[1]BASE!BR374</f>
        <v>0</v>
      </c>
      <c r="AN52" s="6">
        <f>[1]BASE!BS374</f>
        <v>0</v>
      </c>
      <c r="AO52" s="6">
        <f>[1]BASE!BT374</f>
        <v>0</v>
      </c>
      <c r="AP52" s="6">
        <f>[1]BASE!BU374</f>
        <v>0</v>
      </c>
      <c r="AQ52" s="6">
        <f>[1]BASE!BV374</f>
        <v>0</v>
      </c>
      <c r="AR52" s="6">
        <f>[1]BASE!BW374</f>
        <v>0</v>
      </c>
      <c r="AS52" s="6">
        <f>[1]BASE!BX374</f>
        <v>0</v>
      </c>
      <c r="AT52" s="9">
        <f t="shared" si="2"/>
        <v>0</v>
      </c>
      <c r="AU52" s="9">
        <f t="shared" si="3"/>
        <v>0</v>
      </c>
      <c r="AV52" s="9">
        <f t="shared" si="4"/>
        <v>0</v>
      </c>
    </row>
    <row r="53" spans="1:48" x14ac:dyDescent="0.35">
      <c r="A53" s="4" t="str">
        <f>[1]BASE!H378</f>
        <v>PETROLEO</v>
      </c>
      <c r="B53" s="4" t="str">
        <f>[1]BASE!I378</f>
        <v>ACONCAGUA</v>
      </c>
      <c r="C53" s="4">
        <f>[1]BASE!J378</f>
        <v>0</v>
      </c>
      <c r="D53" s="4" t="str">
        <f>[1]BASE!K378</f>
        <v>FIJO</v>
      </c>
      <c r="E53" s="4" t="str">
        <f>[1]BASE!L378</f>
        <v>ACONCAGUA</v>
      </c>
      <c r="F53" s="4" t="str">
        <f>[1]BASE!M378</f>
        <v>VENTAS</v>
      </c>
      <c r="G53" s="4" t="str">
        <f>[1]BASE!N378</f>
        <v>ARS</v>
      </c>
      <c r="H53" s="4" t="str">
        <f>[1]BASE!CL378</f>
        <v xml:space="preserve">BAU </v>
      </c>
      <c r="I53" s="5">
        <v>1</v>
      </c>
      <c r="J53" s="8">
        <f>[1]BASE!AO378</f>
        <v>37327234.879999995</v>
      </c>
      <c r="K53" s="6">
        <f>[1]BASE!AP378</f>
        <v>42810971.219999999</v>
      </c>
      <c r="L53" s="6">
        <f>[1]BASE!AQ378</f>
        <v>44214784.409999996</v>
      </c>
      <c r="M53" s="6">
        <f>[1]BASE!AR378</f>
        <v>60590796.979999997</v>
      </c>
      <c r="N53" s="6">
        <f>[1]BASE!AS378</f>
        <v>65418088.940000013</v>
      </c>
      <c r="O53" s="6">
        <f>[1]BASE!AT378</f>
        <v>65636199.840000004</v>
      </c>
      <c r="P53" s="6">
        <f>[1]BASE!AU378</f>
        <v>76554593.849999994</v>
      </c>
      <c r="Q53" s="6">
        <f>[1]BASE!AV378</f>
        <v>70596616.559999973</v>
      </c>
      <c r="R53" s="6">
        <f>[1]BASE!AW378</f>
        <v>69477012.88000001</v>
      </c>
      <c r="S53" s="6">
        <f>[1]BASE!AX378</f>
        <v>77000453.799999997</v>
      </c>
      <c r="T53" s="6">
        <f>[1]BASE!AY378</f>
        <v>79387048.219999999</v>
      </c>
      <c r="U53" s="6">
        <f>[1]BASE!AZ378</f>
        <v>79788326.799999982</v>
      </c>
      <c r="V53" s="6">
        <f>[1]BASE!BA378</f>
        <v>80562600.409999996</v>
      </c>
      <c r="W53" s="6">
        <f>[1]BASE!BB378</f>
        <v>79439899.379999995</v>
      </c>
      <c r="X53" s="6">
        <f>[1]BASE!BC378</f>
        <v>89520970.37999998</v>
      </c>
      <c r="Y53" s="6">
        <f>[1]BASE!BD378</f>
        <v>82702003.329999998</v>
      </c>
      <c r="Z53" s="6">
        <f>[1]BASE!BE378</f>
        <v>84997756.090000004</v>
      </c>
      <c r="AA53" s="6">
        <f>[1]BASE!BF378</f>
        <v>62089022.129999988</v>
      </c>
      <c r="AB53" s="6">
        <f>[1]BASE!BG378</f>
        <v>45679085.42999997</v>
      </c>
      <c r="AC53" s="6">
        <f>[1]BASE!BH378</f>
        <v>46416447.810000002</v>
      </c>
      <c r="AD53" s="6">
        <f>[1]BASE!BI378</f>
        <v>47521617.989999995</v>
      </c>
      <c r="AE53" s="6">
        <f>[1]BASE!BJ378</f>
        <v>51444987.529999994</v>
      </c>
      <c r="AF53" s="6">
        <f>[1]BASE!BK378</f>
        <v>44526191.070000015</v>
      </c>
      <c r="AG53" s="6">
        <f>[1]BASE!BL378</f>
        <v>52984599.669999987</v>
      </c>
      <c r="AH53" s="6">
        <f>[1]BASE!BM378</f>
        <v>51514013.500000015</v>
      </c>
      <c r="AI53" s="6">
        <f>[1]BASE!BN378</f>
        <v>57336391.109999992</v>
      </c>
      <c r="AJ53" s="6">
        <f>[1]BASE!BO378</f>
        <v>53582561.119999997</v>
      </c>
      <c r="AK53" s="6">
        <f>[1]BASE!BP378</f>
        <v>57620110.220000014</v>
      </c>
      <c r="AL53" s="6">
        <f>[1]BASE!BQ378</f>
        <v>57508471.037794627</v>
      </c>
      <c r="AM53" s="6">
        <f>[1]BASE!BR378</f>
        <v>57700057.78541822</v>
      </c>
      <c r="AN53" s="6">
        <f>[1]BASE!BS378</f>
        <v>59122303.499346167</v>
      </c>
      <c r="AO53" s="6">
        <f>[1]BASE!BT378</f>
        <v>59310285.970089011</v>
      </c>
      <c r="AP53" s="6">
        <f>[1]BASE!BU378</f>
        <v>59480049.017903589</v>
      </c>
      <c r="AQ53" s="6">
        <f>[1]BASE!BV378</f>
        <v>60767167.917246118</v>
      </c>
      <c r="AR53" s="6">
        <f>[1]BASE!BW378</f>
        <v>60908309.598944865</v>
      </c>
      <c r="AS53" s="6">
        <f>[1]BASE!BX378</f>
        <v>61078102.043176018</v>
      </c>
      <c r="AT53" s="9">
        <f t="shared" si="2"/>
        <v>768802128.37999988</v>
      </c>
      <c r="AU53" s="9">
        <f t="shared" si="3"/>
        <v>767885181.21999979</v>
      </c>
      <c r="AV53" s="9">
        <f t="shared" si="4"/>
        <v>695927822.81991875</v>
      </c>
    </row>
    <row r="54" spans="1:48" x14ac:dyDescent="0.35">
      <c r="A54" s="4" t="str">
        <f>[1]BASE!H387</f>
        <v>PETROLEO</v>
      </c>
      <c r="B54" s="4" t="str">
        <f>[1]BASE!I387</f>
        <v>Oilfield &amp; Production Services srl</v>
      </c>
      <c r="C54" s="4">
        <f>[1]BASE!J387</f>
        <v>0</v>
      </c>
      <c r="D54" s="4" t="str">
        <f>[1]BASE!K387</f>
        <v>FIJO</v>
      </c>
      <c r="E54" s="4" t="str">
        <f>[1]BASE!L387</f>
        <v>Oilfield &amp; Production Services srl</v>
      </c>
      <c r="F54" s="4" t="str">
        <f>[1]BASE!M387</f>
        <v>VENTAS</v>
      </c>
      <c r="G54" s="4" t="str">
        <f>[1]BASE!N387</f>
        <v>ARS</v>
      </c>
      <c r="H54" s="4" t="str">
        <f>[1]BASE!CL387</f>
        <v>NN</v>
      </c>
      <c r="I54" s="5">
        <v>1</v>
      </c>
      <c r="J54" s="8">
        <f>[1]BASE!AO387</f>
        <v>46388552.16300001</v>
      </c>
      <c r="K54" s="6">
        <f>[1]BASE!AP387</f>
        <v>14434038.040000012</v>
      </c>
      <c r="L54" s="6">
        <f>[1]BASE!AQ387</f>
        <v>17566209.745999992</v>
      </c>
      <c r="M54" s="6">
        <f>[1]BASE!AR387</f>
        <v>16437856.570999995</v>
      </c>
      <c r="N54" s="6">
        <f>[1]BASE!AS387</f>
        <v>17887324.77</v>
      </c>
      <c r="O54" s="6">
        <f>[1]BASE!AT387</f>
        <v>19214322.041000005</v>
      </c>
      <c r="P54" s="6">
        <f>[1]BASE!AU387</f>
        <v>20946896.91</v>
      </c>
      <c r="Q54" s="6">
        <f>[1]BASE!AV387</f>
        <v>21463545.731999997</v>
      </c>
      <c r="R54" s="6">
        <f>[1]BASE!AW387</f>
        <v>10198035.800000001</v>
      </c>
      <c r="S54" s="6">
        <f>[1]BASE!AX387</f>
        <v>347142</v>
      </c>
      <c r="T54" s="6">
        <f>[1]BASE!AY387</f>
        <v>0</v>
      </c>
      <c r="U54" s="6">
        <f>[1]BASE!AZ387</f>
        <v>466104.6</v>
      </c>
      <c r="V54" s="6">
        <f>[1]BASE!BA387</f>
        <v>744385.54</v>
      </c>
      <c r="W54" s="6">
        <f>[1]BASE!BB387</f>
        <v>490178.39</v>
      </c>
      <c r="X54" s="6">
        <f>[1]BASE!BC387</f>
        <v>513049.02</v>
      </c>
      <c r="Y54" s="6">
        <f>[1]BASE!BD387</f>
        <v>513049.02</v>
      </c>
      <c r="Z54" s="6">
        <f>[1]BASE!BE387</f>
        <v>546981.44999999995</v>
      </c>
      <c r="AA54" s="6">
        <f>[1]BASE!BF387</f>
        <v>546981.44999999995</v>
      </c>
      <c r="AB54" s="6">
        <f>[1]BASE!BG387</f>
        <v>564180.37999999989</v>
      </c>
      <c r="AC54" s="6">
        <f>[1]BASE!BH387</f>
        <v>602240.47000000009</v>
      </c>
      <c r="AD54" s="6">
        <f>[1]BASE!BI387</f>
        <v>616170.86</v>
      </c>
      <c r="AE54" s="6">
        <f>[1]BASE!BJ387</f>
        <v>625231.46000000008</v>
      </c>
      <c r="AF54" s="6">
        <f>[1]BASE!BK387</f>
        <v>614018.12</v>
      </c>
      <c r="AG54" s="6">
        <f>[1]BASE!BL387</f>
        <v>614018.12</v>
      </c>
      <c r="AH54" s="6">
        <f>[1]BASE!BM387</f>
        <v>687792.42000000016</v>
      </c>
      <c r="AI54" s="6">
        <f>[1]BASE!BN387</f>
        <v>669088.5</v>
      </c>
      <c r="AJ54" s="6">
        <f>[1]BASE!BO387</f>
        <v>680775.43</v>
      </c>
      <c r="AK54" s="6">
        <f>[1]BASE!BP387</f>
        <v>724681.31</v>
      </c>
      <c r="AL54" s="6">
        <f>[1]BASE!BQ387</f>
        <v>0</v>
      </c>
      <c r="AM54" s="6">
        <f>[1]BASE!BR387</f>
        <v>0</v>
      </c>
      <c r="AN54" s="6">
        <f>[1]BASE!BS387</f>
        <v>0</v>
      </c>
      <c r="AO54" s="6">
        <f>[1]BASE!BT387</f>
        <v>0</v>
      </c>
      <c r="AP54" s="6">
        <f>[1]BASE!BU387</f>
        <v>0</v>
      </c>
      <c r="AQ54" s="6">
        <f>[1]BASE!BV387</f>
        <v>0</v>
      </c>
      <c r="AR54" s="6">
        <f>[1]BASE!BW387</f>
        <v>0</v>
      </c>
      <c r="AS54" s="6">
        <f>[1]BASE!BX387</f>
        <v>0</v>
      </c>
      <c r="AT54" s="9">
        <f t="shared" si="2"/>
        <v>185350028.37300003</v>
      </c>
      <c r="AU54" s="9">
        <f t="shared" si="3"/>
        <v>6990484.2800000003</v>
      </c>
      <c r="AV54" s="9">
        <f t="shared" si="4"/>
        <v>2762337.66</v>
      </c>
    </row>
    <row r="55" spans="1:48" x14ac:dyDescent="0.35">
      <c r="A55" s="4" t="str">
        <f>[1]BASE!H393</f>
        <v>MINERIA</v>
      </c>
      <c r="B55" s="4" t="str">
        <f>[1]BASE!I393</f>
        <v>Glencore</v>
      </c>
      <c r="C55" s="4">
        <f>[1]BASE!J393</f>
        <v>0</v>
      </c>
      <c r="D55" s="4" t="str">
        <f>[1]BASE!K393</f>
        <v>FIJO</v>
      </c>
      <c r="E55" s="4" t="str">
        <f>[1]BASE!L393</f>
        <v>Glencore El pachon</v>
      </c>
      <c r="F55" s="4" t="str">
        <f>[1]BASE!M393</f>
        <v>VENTAS</v>
      </c>
      <c r="G55" s="4" t="str">
        <f>[1]BASE!N393</f>
        <v>ARS</v>
      </c>
      <c r="H55" s="4" t="str">
        <f>[1]BASE!CL393</f>
        <v>NN</v>
      </c>
      <c r="I55" s="5">
        <v>1</v>
      </c>
      <c r="J55" s="8">
        <f>[1]BASE!AO393</f>
        <v>0</v>
      </c>
      <c r="K55" s="6">
        <f>[1]BASE!AP393</f>
        <v>0</v>
      </c>
      <c r="L55" s="6">
        <f>[1]BASE!AQ393</f>
        <v>0</v>
      </c>
      <c r="M55" s="6">
        <f>[1]BASE!AR393</f>
        <v>0</v>
      </c>
      <c r="N55" s="6">
        <f>[1]BASE!AS393</f>
        <v>0</v>
      </c>
      <c r="O55" s="6">
        <f>[1]BASE!AT393</f>
        <v>0</v>
      </c>
      <c r="P55" s="6">
        <f>[1]BASE!AU393</f>
        <v>0</v>
      </c>
      <c r="Q55" s="6">
        <f>[1]BASE!AV393</f>
        <v>0</v>
      </c>
      <c r="R55" s="6">
        <f>[1]BASE!AW393</f>
        <v>0</v>
      </c>
      <c r="S55" s="6">
        <f>[1]BASE!AX393</f>
        <v>0</v>
      </c>
      <c r="T55" s="6">
        <f>[1]BASE!AY393</f>
        <v>0</v>
      </c>
      <c r="U55" s="6">
        <f>[1]BASE!AZ393</f>
        <v>0</v>
      </c>
      <c r="V55" s="6">
        <f>[1]BASE!BA393</f>
        <v>0</v>
      </c>
      <c r="W55" s="6">
        <f>[1]BASE!BB393</f>
        <v>0</v>
      </c>
      <c r="X55" s="6">
        <f>[1]BASE!BC393</f>
        <v>0</v>
      </c>
      <c r="Y55" s="6">
        <f>[1]BASE!BD393</f>
        <v>0</v>
      </c>
      <c r="Z55" s="6">
        <f>[1]BASE!BE393</f>
        <v>0</v>
      </c>
      <c r="AA55" s="6">
        <f>[1]BASE!BF393</f>
        <v>0</v>
      </c>
      <c r="AB55" s="6">
        <f>[1]BASE!BG393</f>
        <v>0</v>
      </c>
      <c r="AC55" s="6">
        <f>[1]BASE!BH393</f>
        <v>0</v>
      </c>
      <c r="AD55" s="6">
        <f>[1]BASE!BI393</f>
        <v>0</v>
      </c>
      <c r="AE55" s="6">
        <f>[1]BASE!BJ393</f>
        <v>0</v>
      </c>
      <c r="AF55" s="6">
        <f>[1]BASE!BK393</f>
        <v>0</v>
      </c>
      <c r="AG55" s="6">
        <f>[1]BASE!BL393</f>
        <v>0</v>
      </c>
      <c r="AH55" s="6">
        <f>[1]BASE!BM393</f>
        <v>0</v>
      </c>
      <c r="AI55" s="6">
        <f>[1]BASE!BN393</f>
        <v>0</v>
      </c>
      <c r="AJ55" s="6">
        <f>[1]BASE!BO393</f>
        <v>0</v>
      </c>
      <c r="AK55" s="6">
        <f>[1]BASE!BP393</f>
        <v>0</v>
      </c>
      <c r="AL55" s="6">
        <f>[1]BASE!BQ393</f>
        <v>0</v>
      </c>
      <c r="AM55" s="6">
        <f>[1]BASE!BR393</f>
        <v>0</v>
      </c>
      <c r="AN55" s="6">
        <f>[1]BASE!BS393</f>
        <v>0</v>
      </c>
      <c r="AO55" s="6">
        <f>[1]BASE!BT393</f>
        <v>0</v>
      </c>
      <c r="AP55" s="6">
        <f>[1]BASE!BU393</f>
        <v>0</v>
      </c>
      <c r="AQ55" s="6">
        <f>[1]BASE!BV393</f>
        <v>0</v>
      </c>
      <c r="AR55" s="6">
        <f>[1]BASE!BW393</f>
        <v>0</v>
      </c>
      <c r="AS55" s="6">
        <f>[1]BASE!BX393</f>
        <v>0</v>
      </c>
      <c r="AT55" s="9">
        <f t="shared" si="2"/>
        <v>0</v>
      </c>
      <c r="AU55" s="9">
        <f t="shared" si="3"/>
        <v>0</v>
      </c>
      <c r="AV55" s="9">
        <f t="shared" si="4"/>
        <v>0</v>
      </c>
    </row>
    <row r="56" spans="1:48" x14ac:dyDescent="0.35">
      <c r="A56" s="4" t="str">
        <f>[1]BASE!H399</f>
        <v>MINERIA</v>
      </c>
      <c r="B56" s="4" t="str">
        <f>[1]BASE!I399</f>
        <v>SESA</v>
      </c>
      <c r="C56" s="4">
        <f>[1]BASE!J399</f>
        <v>0</v>
      </c>
      <c r="D56" s="4" t="str">
        <f>[1]BASE!K399</f>
        <v>FIJO</v>
      </c>
      <c r="E56" s="4" t="str">
        <f>[1]BASE!L399</f>
        <v>Arizaro</v>
      </c>
      <c r="F56" s="4" t="str">
        <f>[1]BASE!M399</f>
        <v>VENTAS</v>
      </c>
      <c r="G56" s="4" t="str">
        <f>[1]BASE!N399</f>
        <v>ARS</v>
      </c>
      <c r="H56" s="4" t="str">
        <f>[1]BASE!CL399</f>
        <v xml:space="preserve">BAU </v>
      </c>
      <c r="I56" s="5">
        <v>1</v>
      </c>
      <c r="J56" s="8">
        <f>[1]BASE!AO399</f>
        <v>0</v>
      </c>
      <c r="K56" s="6">
        <f>[1]BASE!AP399</f>
        <v>0</v>
      </c>
      <c r="L56" s="6">
        <f>[1]BASE!AQ399</f>
        <v>0</v>
      </c>
      <c r="M56" s="6">
        <f>[1]BASE!AR399</f>
        <v>0</v>
      </c>
      <c r="N56" s="6">
        <f>[1]BASE!AS399</f>
        <v>0</v>
      </c>
      <c r="O56" s="6">
        <f>[1]BASE!AT399</f>
        <v>0</v>
      </c>
      <c r="P56" s="6">
        <f>[1]BASE!AU399</f>
        <v>0</v>
      </c>
      <c r="Q56" s="6">
        <f>[1]BASE!AV399</f>
        <v>0</v>
      </c>
      <c r="R56" s="6">
        <f>[1]BASE!AW399</f>
        <v>0</v>
      </c>
      <c r="S56" s="6">
        <f>[1]BASE!AX399</f>
        <v>0</v>
      </c>
      <c r="T56" s="6">
        <f>[1]BASE!AY399</f>
        <v>0</v>
      </c>
      <c r="U56" s="6">
        <f>[1]BASE!AZ399</f>
        <v>0</v>
      </c>
      <c r="V56" s="6">
        <f>[1]BASE!BA399</f>
        <v>0</v>
      </c>
      <c r="W56" s="6">
        <f>[1]BASE!BB399</f>
        <v>0</v>
      </c>
      <c r="X56" s="6">
        <f>[1]BASE!BC399</f>
        <v>0</v>
      </c>
      <c r="Y56" s="6">
        <f>[1]BASE!BD399</f>
        <v>0</v>
      </c>
      <c r="Z56" s="6">
        <f>[1]BASE!BE399</f>
        <v>0</v>
      </c>
      <c r="AA56" s="6">
        <f>[1]BASE!BF399</f>
        <v>0</v>
      </c>
      <c r="AB56" s="6">
        <f>[1]BASE!BG399</f>
        <v>0</v>
      </c>
      <c r="AC56" s="6">
        <f>[1]BASE!BH399</f>
        <v>0</v>
      </c>
      <c r="AD56" s="6">
        <f>[1]BASE!BI399</f>
        <v>0</v>
      </c>
      <c r="AE56" s="6">
        <f>[1]BASE!BJ399</f>
        <v>0</v>
      </c>
      <c r="AF56" s="6">
        <f>[1]BASE!BK399</f>
        <v>0</v>
      </c>
      <c r="AG56" s="6">
        <f>[1]BASE!BL399</f>
        <v>0</v>
      </c>
      <c r="AH56" s="6">
        <f>[1]BASE!BM399</f>
        <v>0</v>
      </c>
      <c r="AI56" s="6">
        <f>[1]BASE!BN399</f>
        <v>0</v>
      </c>
      <c r="AJ56" s="6">
        <f>[1]BASE!BO399</f>
        <v>0</v>
      </c>
      <c r="AK56" s="6">
        <f>[1]BASE!BP399</f>
        <v>0</v>
      </c>
      <c r="AL56" s="6">
        <f>[1]BASE!BQ399</f>
        <v>0</v>
      </c>
      <c r="AM56" s="6">
        <f>[1]BASE!BR399</f>
        <v>0</v>
      </c>
      <c r="AN56" s="6">
        <f>[1]BASE!BS399</f>
        <v>0</v>
      </c>
      <c r="AO56" s="6">
        <f>[1]BASE!BT399</f>
        <v>0</v>
      </c>
      <c r="AP56" s="6">
        <f>[1]BASE!BU399</f>
        <v>0</v>
      </c>
      <c r="AQ56" s="6">
        <f>[1]BASE!BV399</f>
        <v>0</v>
      </c>
      <c r="AR56" s="6">
        <f>[1]BASE!BW399</f>
        <v>0</v>
      </c>
      <c r="AS56" s="6">
        <f>[1]BASE!BX399</f>
        <v>0</v>
      </c>
      <c r="AT56" s="9">
        <f t="shared" si="2"/>
        <v>0</v>
      </c>
      <c r="AU56" s="9">
        <f t="shared" si="3"/>
        <v>0</v>
      </c>
      <c r="AV56" s="9">
        <f t="shared" si="4"/>
        <v>0</v>
      </c>
    </row>
    <row r="57" spans="1:48" x14ac:dyDescent="0.35">
      <c r="A57" s="4" t="str">
        <f>[1]BASE!H405</f>
        <v>PETROLEO</v>
      </c>
      <c r="B57" s="4" t="str">
        <f>[1]BASE!I405</f>
        <v xml:space="preserve">YPF PSICOSOCIAL </v>
      </c>
      <c r="C57" s="4">
        <f>[1]BASE!J405</f>
        <v>0</v>
      </c>
      <c r="D57" s="4" t="str">
        <f>[1]BASE!K405</f>
        <v>FIJO</v>
      </c>
      <c r="E57" s="4" t="str">
        <f>[1]BASE!L405</f>
        <v xml:space="preserve">YPF PSICOSOCIAL </v>
      </c>
      <c r="F57" s="4" t="str">
        <f>[1]BASE!M405</f>
        <v>VENTAS</v>
      </c>
      <c r="G57" s="4" t="str">
        <f>[1]BASE!N405</f>
        <v>ARS</v>
      </c>
      <c r="H57" s="4" t="str">
        <f>[1]BASE!CL405</f>
        <v xml:space="preserve">BAU </v>
      </c>
      <c r="I57" s="5">
        <v>1</v>
      </c>
      <c r="J57" s="8">
        <f>[1]BASE!AO405</f>
        <v>9192809.6799999997</v>
      </c>
      <c r="K57" s="6">
        <f>[1]BASE!AP405</f>
        <v>12289876.930000002</v>
      </c>
      <c r="L57" s="6">
        <f>[1]BASE!AQ405</f>
        <v>15452881.149999999</v>
      </c>
      <c r="M57" s="6">
        <f>[1]BASE!AR405</f>
        <v>14837553.060000004</v>
      </c>
      <c r="N57" s="6">
        <f>[1]BASE!AS405</f>
        <v>16028194.649999999</v>
      </c>
      <c r="O57" s="6">
        <f>[1]BASE!AT405</f>
        <v>19390462.039999999</v>
      </c>
      <c r="P57" s="6">
        <f>[1]BASE!AU405</f>
        <v>19818298.48</v>
      </c>
      <c r="Q57" s="6">
        <f>[1]BASE!AV405</f>
        <v>18881767.43</v>
      </c>
      <c r="R57" s="6">
        <f>[1]BASE!AW405</f>
        <v>18098604.509999998</v>
      </c>
      <c r="S57" s="6">
        <f>[1]BASE!AX405</f>
        <v>25116475.310000002</v>
      </c>
      <c r="T57" s="6">
        <f>[1]BASE!AY405</f>
        <v>21722066.73</v>
      </c>
      <c r="U57" s="6">
        <f>[1]BASE!AZ405</f>
        <v>20380128.319999997</v>
      </c>
      <c r="V57" s="6">
        <f>[1]BASE!BA405</f>
        <v>18043167.260000002</v>
      </c>
      <c r="W57" s="6">
        <f>[1]BASE!BB405</f>
        <v>18942520.82</v>
      </c>
      <c r="X57" s="6">
        <f>[1]BASE!BC405</f>
        <v>19352376.990000002</v>
      </c>
      <c r="Y57" s="6">
        <f>[1]BASE!BD405</f>
        <v>19905403.82</v>
      </c>
      <c r="Z57" s="6">
        <f>[1]BASE!BE405</f>
        <v>19792547.059999999</v>
      </c>
      <c r="AA57" s="6">
        <f>[1]BASE!BF405</f>
        <v>21810315.560000002</v>
      </c>
      <c r="AB57" s="6">
        <f>[1]BASE!BG405</f>
        <v>22397046.420000006</v>
      </c>
      <c r="AC57" s="6">
        <f>[1]BASE!BH405</f>
        <v>21422134.41</v>
      </c>
      <c r="AD57" s="6">
        <f>[1]BASE!BI405</f>
        <v>25432720.390000004</v>
      </c>
      <c r="AE57" s="6">
        <f>[1]BASE!BJ405</f>
        <v>22986259.949999999</v>
      </c>
      <c r="AF57" s="6">
        <f>[1]BASE!BK405</f>
        <v>29584740.200000003</v>
      </c>
      <c r="AG57" s="6">
        <f>[1]BASE!BL405</f>
        <v>21305802.43</v>
      </c>
      <c r="AH57" s="6">
        <f>[1]BASE!BM405</f>
        <v>21816629.490000002</v>
      </c>
      <c r="AI57" s="6">
        <f>[1]BASE!BN405</f>
        <v>19918219.140000001</v>
      </c>
      <c r="AJ57" s="6">
        <f>[1]BASE!BO405</f>
        <v>21586575.150000002</v>
      </c>
      <c r="AK57" s="6">
        <f>[1]BASE!BP405</f>
        <v>22886362.619999997</v>
      </c>
      <c r="AL57" s="6">
        <f>[1]BASE!BQ405</f>
        <v>26792896.95348414</v>
      </c>
      <c r="AM57" s="6">
        <f>[1]BASE!BR405</f>
        <v>27510583.349275082</v>
      </c>
      <c r="AN57" s="6">
        <f>[1]BASE!BS405</f>
        <v>28171462.861411668</v>
      </c>
      <c r="AO57" s="6">
        <f>[1]BASE!BT405</f>
        <v>28871427.664672028</v>
      </c>
      <c r="AP57" s="6">
        <f>[1]BASE!BU405</f>
        <v>29525330.207370516</v>
      </c>
      <c r="AQ57" s="6">
        <f>[1]BASE!BV405</f>
        <v>30127171.57970462</v>
      </c>
      <c r="AR57" s="6">
        <f>[1]BASE!BW405</f>
        <v>30679869.901608333</v>
      </c>
      <c r="AS57" s="6">
        <f>[1]BASE!BX405</f>
        <v>31197136.594376534</v>
      </c>
      <c r="AT57" s="9">
        <f t="shared" si="2"/>
        <v>211209118.28999996</v>
      </c>
      <c r="AU57" s="9">
        <f t="shared" si="3"/>
        <v>260975035.31</v>
      </c>
      <c r="AV57" s="9">
        <f t="shared" si="4"/>
        <v>319083665.51190293</v>
      </c>
    </row>
    <row r="58" spans="1:48" x14ac:dyDescent="0.35">
      <c r="A58" s="4" t="str">
        <f>[1]BASE!H414</f>
        <v>OTRAS OP DEDICADAS</v>
      </c>
      <c r="B58" s="4" t="str">
        <f>[1]BASE!I414</f>
        <v>Vestas</v>
      </c>
      <c r="C58" s="4">
        <f>[1]BASE!J414</f>
        <v>0</v>
      </c>
      <c r="D58" s="4" t="str">
        <f>[1]BASE!K414</f>
        <v>Parque Eólico</v>
      </c>
      <c r="E58" s="4" t="str">
        <f>[1]BASE!L414</f>
        <v xml:space="preserve">Vestas - Wayra - Pepe VI </v>
      </c>
      <c r="F58" s="4" t="str">
        <f>[1]BASE!M414</f>
        <v>VENTAS</v>
      </c>
      <c r="G58" s="4" t="str">
        <f>[1]BASE!N414</f>
        <v>ARS</v>
      </c>
      <c r="H58" s="4" t="str">
        <f>[1]BASE!CL414</f>
        <v xml:space="preserve">BAU </v>
      </c>
      <c r="I58" s="5">
        <v>1</v>
      </c>
      <c r="J58" s="8">
        <f>[1]BASE!AO414</f>
        <v>15685868.710000001</v>
      </c>
      <c r="K58" s="6">
        <f>[1]BASE!AP414</f>
        <v>11824644.299999999</v>
      </c>
      <c r="L58" s="6">
        <f>[1]BASE!AQ414</f>
        <v>15097087.830000002</v>
      </c>
      <c r="M58" s="6">
        <f>[1]BASE!AR414</f>
        <v>20091415.68</v>
      </c>
      <c r="N58" s="6">
        <f>[1]BASE!AS414</f>
        <v>24834321.610999994</v>
      </c>
      <c r="O58" s="6">
        <f>[1]BASE!AT414</f>
        <v>22546922.130000003</v>
      </c>
      <c r="P58" s="6">
        <f>[1]BASE!AU414</f>
        <v>25930269.979999997</v>
      </c>
      <c r="Q58" s="6">
        <f>[1]BASE!AV414</f>
        <v>26969351.409000002</v>
      </c>
      <c r="R58" s="6">
        <f>[1]BASE!AW414</f>
        <v>26687647.785999995</v>
      </c>
      <c r="S58" s="6">
        <f>[1]BASE!AX414</f>
        <v>26254936.260999996</v>
      </c>
      <c r="T58" s="6">
        <f>[1]BASE!AY414</f>
        <v>18414975.199999999</v>
      </c>
      <c r="U58" s="6">
        <f>[1]BASE!AZ414</f>
        <v>2313495.3950000051</v>
      </c>
      <c r="V58" s="6">
        <f>[1]BASE!BA414</f>
        <v>11605593.1</v>
      </c>
      <c r="W58" s="6">
        <f>[1]BASE!BB414</f>
        <v>586166.24</v>
      </c>
      <c r="X58" s="6">
        <f>[1]BASE!BC414</f>
        <v>14239539.480999999</v>
      </c>
      <c r="Y58" s="6">
        <f>[1]BASE!BD414</f>
        <v>7321765.2350000003</v>
      </c>
      <c r="Z58" s="6">
        <f>[1]BASE!BE414</f>
        <v>0</v>
      </c>
      <c r="AA58" s="6">
        <f>[1]BASE!BF414</f>
        <v>0</v>
      </c>
      <c r="AB58" s="6">
        <f>[1]BASE!BG414</f>
        <v>0</v>
      </c>
      <c r="AC58" s="6">
        <f>[1]BASE!BH414</f>
        <v>0</v>
      </c>
      <c r="AD58" s="6">
        <f>[1]BASE!BI414</f>
        <v>0</v>
      </c>
      <c r="AE58" s="6">
        <f>[1]BASE!BJ414</f>
        <v>3652282.4579999996</v>
      </c>
      <c r="AF58" s="6">
        <f>[1]BASE!BK414</f>
        <v>0</v>
      </c>
      <c r="AG58" s="6">
        <f>[1]BASE!BL414</f>
        <v>-9738435.5199999996</v>
      </c>
      <c r="AH58" s="6">
        <f>[1]BASE!BM414</f>
        <v>0</v>
      </c>
      <c r="AI58" s="6">
        <f>[1]BASE!BN414</f>
        <v>0</v>
      </c>
      <c r="AJ58" s="6">
        <f>[1]BASE!BO414</f>
        <v>0</v>
      </c>
      <c r="AK58" s="6">
        <f>[1]BASE!BP414</f>
        <v>0</v>
      </c>
      <c r="AL58" s="6">
        <f>[1]BASE!BQ414</f>
        <v>0</v>
      </c>
      <c r="AM58" s="6">
        <f>[1]BASE!BR414</f>
        <v>0</v>
      </c>
      <c r="AN58" s="6">
        <f>[1]BASE!BS414</f>
        <v>0</v>
      </c>
      <c r="AO58" s="6">
        <f>[1]BASE!BT414</f>
        <v>0</v>
      </c>
      <c r="AP58" s="6">
        <f>[1]BASE!BU414</f>
        <v>0</v>
      </c>
      <c r="AQ58" s="6">
        <f>[1]BASE!BV414</f>
        <v>0</v>
      </c>
      <c r="AR58" s="6">
        <f>[1]BASE!BW414</f>
        <v>0</v>
      </c>
      <c r="AS58" s="6">
        <f>[1]BASE!BX414</f>
        <v>0</v>
      </c>
      <c r="AT58" s="9">
        <f t="shared" si="2"/>
        <v>236650936.292</v>
      </c>
      <c r="AU58" s="9">
        <f t="shared" si="3"/>
        <v>27666910.993999999</v>
      </c>
      <c r="AV58" s="9">
        <f t="shared" si="4"/>
        <v>0</v>
      </c>
    </row>
    <row r="59" spans="1:48" x14ac:dyDescent="0.35">
      <c r="A59" s="4" t="str">
        <f>[1]BASE!H420</f>
        <v>MINERIA</v>
      </c>
      <c r="B59" s="4" t="str">
        <f>[1]BASE!I420</f>
        <v>Ganfeng</v>
      </c>
      <c r="C59" s="4">
        <f>[1]BASE!J420</f>
        <v>0</v>
      </c>
      <c r="D59" s="4" t="str">
        <f>[1]BASE!K420</f>
        <v>Minería</v>
      </c>
      <c r="E59" s="4" t="str">
        <f>[1]BASE!L420</f>
        <v>Mariana</v>
      </c>
      <c r="F59" s="4" t="str">
        <f>[1]BASE!M420</f>
        <v>VENTAS</v>
      </c>
      <c r="G59" s="4" t="str">
        <f>[1]BASE!N420</f>
        <v>ARS</v>
      </c>
      <c r="H59" s="4" t="str">
        <f>[1]BASE!CL420</f>
        <v xml:space="preserve">BAU </v>
      </c>
      <c r="I59" s="5">
        <v>1</v>
      </c>
      <c r="J59" s="8">
        <f>[1]BASE!AO420</f>
        <v>0</v>
      </c>
      <c r="K59" s="6">
        <f>[1]BASE!AP420</f>
        <v>0</v>
      </c>
      <c r="L59" s="6">
        <f>[1]BASE!AQ420</f>
        <v>0</v>
      </c>
      <c r="M59" s="6">
        <f>[1]BASE!AR420</f>
        <v>0</v>
      </c>
      <c r="N59" s="6">
        <f>[1]BASE!AS420</f>
        <v>0</v>
      </c>
      <c r="O59" s="6">
        <f>[1]BASE!AT420</f>
        <v>0</v>
      </c>
      <c r="P59" s="6">
        <f>[1]BASE!AU420</f>
        <v>0</v>
      </c>
      <c r="Q59" s="6">
        <f>[1]BASE!AV420</f>
        <v>0</v>
      </c>
      <c r="R59" s="6">
        <f>[1]BASE!AW420</f>
        <v>0</v>
      </c>
      <c r="S59" s="6">
        <f>[1]BASE!AX420</f>
        <v>0</v>
      </c>
      <c r="T59" s="6">
        <f>[1]BASE!AY420</f>
        <v>0</v>
      </c>
      <c r="U59" s="6">
        <f>[1]BASE!AZ420</f>
        <v>0</v>
      </c>
      <c r="V59" s="6">
        <f>[1]BASE!BA420</f>
        <v>0</v>
      </c>
      <c r="W59" s="6">
        <f>[1]BASE!BB420</f>
        <v>0</v>
      </c>
      <c r="X59" s="6">
        <f>[1]BASE!BC420</f>
        <v>0</v>
      </c>
      <c r="Y59" s="6">
        <f>[1]BASE!BD420</f>
        <v>0</v>
      </c>
      <c r="Z59" s="6">
        <f>[1]BASE!BE420</f>
        <v>0</v>
      </c>
      <c r="AA59" s="6">
        <f>[1]BASE!BF420</f>
        <v>52265683.899999999</v>
      </c>
      <c r="AB59" s="6">
        <f>[1]BASE!BG420</f>
        <v>39406237.750000007</v>
      </c>
      <c r="AC59" s="6">
        <f>[1]BASE!BH420</f>
        <v>57649831.919000007</v>
      </c>
      <c r="AD59" s="6">
        <f>[1]BASE!BI420</f>
        <v>62776686.168999985</v>
      </c>
      <c r="AE59" s="6">
        <f>[1]BASE!BJ420</f>
        <v>60139507.681000002</v>
      </c>
      <c r="AF59" s="6">
        <f>[1]BASE!BK420</f>
        <v>60464233.710000001</v>
      </c>
      <c r="AG59" s="6">
        <f>[1]BASE!BL420</f>
        <v>61019442.929000005</v>
      </c>
      <c r="AH59" s="6">
        <f>[1]BASE!BM420</f>
        <v>60403290.949999996</v>
      </c>
      <c r="AI59" s="6">
        <f>[1]BASE!BN420</f>
        <v>56595362.998999998</v>
      </c>
      <c r="AJ59" s="6">
        <f>[1]BASE!BO420</f>
        <v>61503096.859999992</v>
      </c>
      <c r="AK59" s="6">
        <f>[1]BASE!BP420</f>
        <v>60784086.018999994</v>
      </c>
      <c r="AL59" s="6">
        <f>[1]BASE!BQ420</f>
        <v>66320041.692793511</v>
      </c>
      <c r="AM59" s="6">
        <f>[1]BASE!BR420</f>
        <v>67049562.151414238</v>
      </c>
      <c r="AN59" s="6">
        <f>[1]BASE!BS420</f>
        <v>67787107.335079789</v>
      </c>
      <c r="AO59" s="6">
        <f>[1]BASE!BT420</f>
        <v>68532765.515765652</v>
      </c>
      <c r="AP59" s="6">
        <f>[1]BASE!BU420</f>
        <v>69286625.936439067</v>
      </c>
      <c r="AQ59" s="6">
        <f>[1]BASE!BV420</f>
        <v>70048778.821739897</v>
      </c>
      <c r="AR59" s="6">
        <f>[1]BASE!BW420</f>
        <v>70819315.388779029</v>
      </c>
      <c r="AS59" s="6">
        <f>[1]BASE!BX420</f>
        <v>71598327.858055592</v>
      </c>
      <c r="AT59" s="9">
        <f t="shared" si="2"/>
        <v>0</v>
      </c>
      <c r="AU59" s="9">
        <f t="shared" si="3"/>
        <v>393721624.05799997</v>
      </c>
      <c r="AV59" s="9">
        <f t="shared" si="4"/>
        <v>790728361.52806675</v>
      </c>
    </row>
    <row r="60" spans="1:48" x14ac:dyDescent="0.35">
      <c r="A60" t="str">
        <f>[1]BASE!H429</f>
        <v>OTRAS OP DEDICADAS</v>
      </c>
      <c r="B60" t="str">
        <f>[1]BASE!I429</f>
        <v>SACDE</v>
      </c>
      <c r="C60">
        <f>[1]BASE!J429</f>
        <v>0</v>
      </c>
      <c r="D60" t="str">
        <f>[1]BASE!K429</f>
        <v>AP</v>
      </c>
      <c r="E60" t="str">
        <f>[1]BASE!L429</f>
        <v>SACDE - Gasoducto TGS C.Ordoqui</v>
      </c>
      <c r="F60" t="str">
        <f>[1]BASE!M429</f>
        <v>VENTAS</v>
      </c>
      <c r="G60" t="str">
        <f>[1]BASE!N429</f>
        <v>ARS</v>
      </c>
      <c r="H60" t="str">
        <f>[1]BASE!CL429</f>
        <v xml:space="preserve">BAU </v>
      </c>
      <c r="J60" s="6">
        <f>[1]BASE!AO429</f>
        <v>30692085.681000002</v>
      </c>
      <c r="K60" s="6">
        <f>[1]BASE!AP429</f>
        <v>46490658.341000006</v>
      </c>
      <c r="L60" s="6">
        <f>[1]BASE!AQ429</f>
        <v>83913610.421000019</v>
      </c>
      <c r="M60" s="6">
        <f>[1]BASE!AR429</f>
        <v>91228971.769999981</v>
      </c>
      <c r="N60" s="6">
        <f>[1]BASE!AS429</f>
        <v>98891362.001000002</v>
      </c>
      <c r="O60" s="6">
        <f>[1]BASE!AT429</f>
        <v>111551173.51100001</v>
      </c>
      <c r="P60" s="6">
        <f>[1]BASE!AU429</f>
        <v>76956725.130999997</v>
      </c>
      <c r="Q60" s="6">
        <f>[1]BASE!AV429</f>
        <v>67670701.160000011</v>
      </c>
      <c r="R60" s="6">
        <f>[1]BASE!AW429</f>
        <v>83197353.195368916</v>
      </c>
      <c r="S60" s="6">
        <f>[1]BASE!AX429</f>
        <v>72094292.57099998</v>
      </c>
      <c r="T60" s="6">
        <f>[1]BASE!AY429</f>
        <v>86354042.650000006</v>
      </c>
      <c r="U60" s="6">
        <f>[1]BASE!AZ429</f>
        <v>51599372.001000002</v>
      </c>
      <c r="V60" s="6">
        <f>[1]BASE!BA429</f>
        <v>47562041.5</v>
      </c>
      <c r="W60" s="6">
        <f>[1]BASE!BB429</f>
        <v>50896979.791000001</v>
      </c>
      <c r="X60" s="6">
        <f>[1]BASE!BC429</f>
        <v>50290217.399999999</v>
      </c>
      <c r="Y60" s="6">
        <f>[1]BASE!BD429</f>
        <v>49018182.620999992</v>
      </c>
      <c r="Z60" s="6">
        <f>[1]BASE!BE429</f>
        <v>36992095.071000002</v>
      </c>
      <c r="AA60" s="6">
        <f>[1]BASE!BF429</f>
        <v>27995514.340999987</v>
      </c>
      <c r="AB60" s="6">
        <f>[1]BASE!BG429</f>
        <v>10973804.449999999</v>
      </c>
      <c r="AC60" s="6">
        <f>[1]BASE!BH429</f>
        <v>-1916298.2089999989</v>
      </c>
      <c r="AD60" s="6">
        <f>[1]BASE!BI429</f>
        <v>0</v>
      </c>
      <c r="AE60" s="6">
        <f>[1]BASE!BJ429</f>
        <v>0</v>
      </c>
      <c r="AF60" s="6">
        <f>[1]BASE!BK429</f>
        <v>0</v>
      </c>
      <c r="AG60" s="6">
        <f>[1]BASE!BL429</f>
        <v>0</v>
      </c>
      <c r="AH60" s="6">
        <f>[1]BASE!BM429</f>
        <v>0</v>
      </c>
      <c r="AI60" s="6">
        <f>[1]BASE!BN429</f>
        <v>0</v>
      </c>
      <c r="AJ60" s="6">
        <f>[1]BASE!BO429</f>
        <v>0</v>
      </c>
      <c r="AK60" s="6">
        <f>[1]BASE!BP429</f>
        <v>0</v>
      </c>
      <c r="AL60" s="6">
        <f>[1]BASE!BQ429</f>
        <v>0</v>
      </c>
      <c r="AM60" s="6">
        <f>[1]BASE!BR429</f>
        <v>0</v>
      </c>
      <c r="AN60" s="6">
        <f>[1]BASE!BS429</f>
        <v>0</v>
      </c>
      <c r="AO60" s="6">
        <f>[1]BASE!BT429</f>
        <v>0</v>
      </c>
      <c r="AP60" s="6">
        <f>[1]BASE!BU429</f>
        <v>0</v>
      </c>
      <c r="AQ60" s="6">
        <f>[1]BASE!BV429</f>
        <v>0</v>
      </c>
      <c r="AR60" s="6">
        <f>[1]BASE!BW429</f>
        <v>0</v>
      </c>
      <c r="AS60" s="6">
        <f>[1]BASE!BX429</f>
        <v>0</v>
      </c>
      <c r="AT60" s="9">
        <f t="shared" si="2"/>
        <v>900640348.43336892</v>
      </c>
      <c r="AU60" s="9">
        <f t="shared" si="3"/>
        <v>271812536.96500003</v>
      </c>
      <c r="AV60" s="9">
        <f t="shared" si="4"/>
        <v>0</v>
      </c>
    </row>
    <row r="61" spans="1:48" x14ac:dyDescent="0.35">
      <c r="A61" t="str">
        <f>[1]BASE!H438</f>
        <v>OTRAS OP DEDICADAS</v>
      </c>
      <c r="B61" t="str">
        <f>[1]BASE!I438</f>
        <v>SACDE</v>
      </c>
      <c r="C61">
        <f>[1]BASE!J438</f>
        <v>0</v>
      </c>
      <c r="D61" t="str">
        <f>[1]BASE!K438</f>
        <v>AP</v>
      </c>
      <c r="E61" t="str">
        <f>[1]BASE!L438</f>
        <v>SACDE - Cordoba</v>
      </c>
      <c r="F61" t="str">
        <f>[1]BASE!M438</f>
        <v>VENTAS</v>
      </c>
      <c r="G61" t="str">
        <f>[1]BASE!N438</f>
        <v>ARS</v>
      </c>
      <c r="H61" t="str">
        <f>[1]BASE!CL438</f>
        <v xml:space="preserve">BAU </v>
      </c>
      <c r="J61" s="6">
        <f>[1]BASE!AO438</f>
        <v>0</v>
      </c>
      <c r="K61" s="6">
        <f>[1]BASE!AP438</f>
        <v>0</v>
      </c>
      <c r="L61" s="6">
        <f>[1]BASE!AQ438</f>
        <v>0</v>
      </c>
      <c r="M61" s="6">
        <f>[1]BASE!AR438</f>
        <v>0</v>
      </c>
      <c r="N61" s="6">
        <f>[1]BASE!AS438</f>
        <v>0</v>
      </c>
      <c r="O61" s="6">
        <f>[1]BASE!AT438</f>
        <v>0</v>
      </c>
      <c r="P61" s="6">
        <f>[1]BASE!AU438</f>
        <v>0</v>
      </c>
      <c r="Q61" s="6">
        <f>[1]BASE!AV438</f>
        <v>0</v>
      </c>
      <c r="R61" s="6">
        <f>[1]BASE!AW438</f>
        <v>2872450</v>
      </c>
      <c r="S61" s="6">
        <f>[1]BASE!AX438</f>
        <v>5702850</v>
      </c>
      <c r="T61" s="6">
        <f>[1]BASE!AY438</f>
        <v>3404125.6299995231</v>
      </c>
      <c r="U61" s="6">
        <f>[1]BASE!AZ438</f>
        <v>3078350.0000014305</v>
      </c>
      <c r="V61" s="6">
        <f>[1]BASE!BA438</f>
        <v>3077625</v>
      </c>
      <c r="W61" s="6">
        <f>[1]BASE!BB438</f>
        <v>3069650</v>
      </c>
      <c r="X61" s="6">
        <f>[1]BASE!BC438</f>
        <v>0</v>
      </c>
      <c r="Y61" s="6">
        <f>[1]BASE!BD438</f>
        <v>0</v>
      </c>
      <c r="Z61" s="6">
        <f>[1]BASE!BE438</f>
        <v>0</v>
      </c>
      <c r="AA61" s="6">
        <f>[1]BASE!BF438</f>
        <v>0</v>
      </c>
      <c r="AB61" s="6">
        <f>[1]BASE!BG438</f>
        <v>0</v>
      </c>
      <c r="AC61" s="6">
        <f>[1]BASE!BH438</f>
        <v>0</v>
      </c>
      <c r="AD61" s="6">
        <f>[1]BASE!BI438</f>
        <v>0</v>
      </c>
      <c r="AE61" s="6">
        <f>[1]BASE!BJ438</f>
        <v>0</v>
      </c>
      <c r="AF61" s="6">
        <f>[1]BASE!BK438</f>
        <v>0</v>
      </c>
      <c r="AG61" s="6">
        <f>[1]BASE!BL438</f>
        <v>0</v>
      </c>
      <c r="AH61" s="6">
        <f>[1]BASE!BM438</f>
        <v>0</v>
      </c>
      <c r="AI61" s="6">
        <f>[1]BASE!BN438</f>
        <v>0</v>
      </c>
      <c r="AJ61" s="6">
        <f>[1]BASE!BO438</f>
        <v>0</v>
      </c>
      <c r="AK61" s="6">
        <f>[1]BASE!BP438</f>
        <v>0</v>
      </c>
      <c r="AL61" s="6">
        <f>[1]BASE!BQ438</f>
        <v>0</v>
      </c>
      <c r="AM61" s="6">
        <f>[1]BASE!BR438</f>
        <v>0</v>
      </c>
      <c r="AN61" s="6">
        <f>[1]BASE!BS438</f>
        <v>0</v>
      </c>
      <c r="AO61" s="6">
        <f>[1]BASE!BT438</f>
        <v>0</v>
      </c>
      <c r="AP61" s="6">
        <f>[1]BASE!BU438</f>
        <v>0</v>
      </c>
      <c r="AQ61" s="6">
        <f>[1]BASE!BV438</f>
        <v>0</v>
      </c>
      <c r="AR61" s="6">
        <f>[1]BASE!BW438</f>
        <v>0</v>
      </c>
      <c r="AS61" s="6">
        <f>[1]BASE!BX438</f>
        <v>0</v>
      </c>
      <c r="AT61" s="9">
        <f t="shared" si="2"/>
        <v>15057775.630000953</v>
      </c>
      <c r="AU61" s="9">
        <f t="shared" si="3"/>
        <v>6147275</v>
      </c>
      <c r="AV61" s="9">
        <f t="shared" si="4"/>
        <v>0</v>
      </c>
    </row>
    <row r="62" spans="1:48" x14ac:dyDescent="0.35">
      <c r="A62" t="str">
        <f>[1]BASE!H447</f>
        <v>MINERIA</v>
      </c>
      <c r="B62" t="str">
        <f>[1]BASE!I447</f>
        <v>HANAQ</v>
      </c>
      <c r="C62">
        <f>[1]BASE!J447</f>
        <v>0</v>
      </c>
      <c r="D62" t="str">
        <f>[1]BASE!K447</f>
        <v>AP</v>
      </c>
      <c r="E62" t="str">
        <f>[1]BASE!L447</f>
        <v xml:space="preserve">HANAQ - Salta - Proyecto Doncella </v>
      </c>
      <c r="F62" t="str">
        <f>[1]BASE!M447</f>
        <v>VENTAS</v>
      </c>
      <c r="G62" t="str">
        <f>[1]BASE!N447</f>
        <v>ARS</v>
      </c>
      <c r="H62" t="str">
        <f>[1]BASE!CL447</f>
        <v xml:space="preserve">BAU </v>
      </c>
      <c r="J62" s="6">
        <f>[1]BASE!AO447</f>
        <v>0</v>
      </c>
      <c r="K62" s="6">
        <f>[1]BASE!AP447</f>
        <v>0</v>
      </c>
      <c r="L62" s="6">
        <f>[1]BASE!AQ447</f>
        <v>0</v>
      </c>
      <c r="M62" s="6">
        <f>[1]BASE!AR447</f>
        <v>0</v>
      </c>
      <c r="N62" s="6">
        <f>[1]BASE!AS447</f>
        <v>0</v>
      </c>
      <c r="O62" s="6">
        <f>[1]BASE!AT447</f>
        <v>0</v>
      </c>
      <c r="P62" s="6">
        <f>[1]BASE!AU447</f>
        <v>0</v>
      </c>
      <c r="Q62" s="6">
        <f>[1]BASE!AV447</f>
        <v>0</v>
      </c>
      <c r="R62" s="6">
        <f>[1]BASE!AW447</f>
        <v>0</v>
      </c>
      <c r="S62" s="6">
        <f>[1]BASE!AX447</f>
        <v>5034120</v>
      </c>
      <c r="T62" s="6">
        <f>[1]BASE!AY447</f>
        <v>5315497.5</v>
      </c>
      <c r="U62" s="6">
        <f>[1]BASE!AZ447</f>
        <v>5054379.5</v>
      </c>
      <c r="V62" s="6">
        <f>[1]BASE!BA447</f>
        <v>5225941.25</v>
      </c>
      <c r="W62" s="6">
        <f>[1]BASE!BB447</f>
        <v>5174837.75</v>
      </c>
      <c r="X62" s="6">
        <f>[1]BASE!BC447</f>
        <v>5256360</v>
      </c>
      <c r="Y62" s="6">
        <f>[1]BASE!BD447</f>
        <v>5469291.25</v>
      </c>
      <c r="Z62" s="6">
        <f>[1]BASE!BE447</f>
        <v>5833099.5</v>
      </c>
      <c r="AA62" s="6">
        <f>[1]BASE!BF447</f>
        <v>10542227.550000001</v>
      </c>
      <c r="AB62" s="6">
        <f>[1]BASE!BG447</f>
        <v>9578313.0149999987</v>
      </c>
      <c r="AC62" s="6">
        <f>[1]BASE!BH447</f>
        <v>0</v>
      </c>
      <c r="AD62" s="6">
        <f>[1]BASE!BI447</f>
        <v>0</v>
      </c>
      <c r="AE62" s="6">
        <f>[1]BASE!BJ447</f>
        <v>0</v>
      </c>
      <c r="AF62" s="6">
        <f>[1]BASE!BK447</f>
        <v>0</v>
      </c>
      <c r="AG62" s="6">
        <f>[1]BASE!BL447</f>
        <v>0</v>
      </c>
      <c r="AH62" s="6">
        <f>[1]BASE!BM447</f>
        <v>0</v>
      </c>
      <c r="AI62" s="6">
        <f>[1]BASE!BN447</f>
        <v>0</v>
      </c>
      <c r="AJ62" s="6">
        <f>[1]BASE!BO447</f>
        <v>0</v>
      </c>
      <c r="AK62" s="6">
        <f>[1]BASE!BP447</f>
        <v>9795478.0999999996</v>
      </c>
      <c r="AL62" s="6">
        <f>[1]BASE!BQ447</f>
        <v>19315631.181978457</v>
      </c>
      <c r="AM62" s="6">
        <f>[1]BASE!BR447</f>
        <v>19528103.124980219</v>
      </c>
      <c r="AN62" s="6">
        <f>[1]BASE!BS447</f>
        <v>19742912.259355001</v>
      </c>
      <c r="AO62" s="6">
        <f>[1]BASE!BT447</f>
        <v>19960084.294207904</v>
      </c>
      <c r="AP62" s="6">
        <f>[1]BASE!BU447</f>
        <v>20179645.221444186</v>
      </c>
      <c r="AQ62" s="6">
        <f>[1]BASE!BV447</f>
        <v>20401621.31888007</v>
      </c>
      <c r="AR62" s="6">
        <f>[1]BASE!BW447</f>
        <v>0</v>
      </c>
      <c r="AS62" s="6">
        <f>[1]BASE!BX447</f>
        <v>0</v>
      </c>
      <c r="AT62" s="9">
        <f t="shared" si="2"/>
        <v>15403997</v>
      </c>
      <c r="AU62" s="9">
        <f t="shared" si="3"/>
        <v>47080070.314999998</v>
      </c>
      <c r="AV62" s="9">
        <f t="shared" si="4"/>
        <v>128923475.50084583</v>
      </c>
    </row>
    <row r="63" spans="1:48" x14ac:dyDescent="0.35">
      <c r="A63" t="str">
        <f>[1]BASE!H456</f>
        <v>PETROLEO</v>
      </c>
      <c r="B63" t="str">
        <f>[1]BASE!I456</f>
        <v>MILICIC</v>
      </c>
      <c r="C63">
        <f>[1]BASE!J456</f>
        <v>0</v>
      </c>
      <c r="D63">
        <f>[1]BASE!K456</f>
        <v>0</v>
      </c>
      <c r="E63" t="str">
        <f>[1]BASE!L456</f>
        <v>Proyecto VMOC</v>
      </c>
      <c r="F63" t="str">
        <f>[1]BASE!M456</f>
        <v>VENTAS</v>
      </c>
      <c r="G63" t="str">
        <f>[1]BASE!N456</f>
        <v>ARS</v>
      </c>
      <c r="H63" t="str">
        <f>[1]BASE!CL456</f>
        <v>NN</v>
      </c>
      <c r="J63" s="6">
        <f>[1]BASE!AO456</f>
        <v>0</v>
      </c>
      <c r="K63" s="6">
        <f>[1]BASE!AP456</f>
        <v>0</v>
      </c>
      <c r="L63" s="6">
        <f>[1]BASE!AQ456</f>
        <v>0</v>
      </c>
      <c r="M63" s="6">
        <f>[1]BASE!AR456</f>
        <v>0</v>
      </c>
      <c r="N63" s="6">
        <f>[1]BASE!AS456</f>
        <v>0</v>
      </c>
      <c r="O63" s="6">
        <f>[1]BASE!AT456</f>
        <v>0</v>
      </c>
      <c r="P63" s="6">
        <f>[1]BASE!AU456</f>
        <v>0</v>
      </c>
      <c r="Q63" s="6">
        <f>[1]BASE!AV456</f>
        <v>0</v>
      </c>
      <c r="R63" s="6">
        <f>[1]BASE!AW456</f>
        <v>0</v>
      </c>
      <c r="S63" s="6">
        <f>[1]BASE!AX456</f>
        <v>0</v>
      </c>
      <c r="T63" s="6">
        <f>[1]BASE!AY456</f>
        <v>0</v>
      </c>
      <c r="U63" s="6">
        <f>[1]BASE!AZ456</f>
        <v>0</v>
      </c>
      <c r="V63" s="6">
        <f>[1]BASE!BA456</f>
        <v>0</v>
      </c>
      <c r="W63" s="6">
        <f>[1]BASE!BB456</f>
        <v>0</v>
      </c>
      <c r="X63" s="6">
        <f>[1]BASE!BC456</f>
        <v>0</v>
      </c>
      <c r="Y63" s="6">
        <f>[1]BASE!BD456</f>
        <v>0</v>
      </c>
      <c r="Z63" s="6">
        <f>[1]BASE!BE456</f>
        <v>0</v>
      </c>
      <c r="AA63" s="6">
        <f>[1]BASE!BF456</f>
        <v>0</v>
      </c>
      <c r="AB63" s="6">
        <f>[1]BASE!BG456</f>
        <v>0</v>
      </c>
      <c r="AC63" s="6">
        <f>[1]BASE!BH456</f>
        <v>0</v>
      </c>
      <c r="AD63" s="6">
        <f>[1]BASE!BI456</f>
        <v>0</v>
      </c>
      <c r="AE63" s="6">
        <f>[1]BASE!BJ456</f>
        <v>0</v>
      </c>
      <c r="AF63" s="6">
        <f>[1]BASE!BK456</f>
        <v>0</v>
      </c>
      <c r="AG63" s="6">
        <f>[1]BASE!BL456</f>
        <v>0</v>
      </c>
      <c r="AH63" s="6">
        <f>[1]BASE!BM456</f>
        <v>0</v>
      </c>
      <c r="AI63" s="6">
        <f>[1]BASE!BN456</f>
        <v>0</v>
      </c>
      <c r="AJ63" s="6">
        <f>[1]BASE!BO456</f>
        <v>0</v>
      </c>
      <c r="AK63" s="6">
        <f>[1]BASE!BP456</f>
        <v>0</v>
      </c>
      <c r="AL63" s="6">
        <f>[1]BASE!BQ456</f>
        <v>0.25</v>
      </c>
      <c r="AM63" s="6">
        <f>[1]BASE!BR456</f>
        <v>0.25</v>
      </c>
      <c r="AN63" s="6">
        <f>[1]BASE!BS456</f>
        <v>0.25</v>
      </c>
      <c r="AO63" s="6">
        <f>[1]BASE!BT456</f>
        <v>0.25</v>
      </c>
      <c r="AP63" s="6">
        <f>[1]BASE!BU456</f>
        <v>48618472.21031481</v>
      </c>
      <c r="AQ63" s="6">
        <f>[1]BASE!BV456</f>
        <v>49606512.210289069</v>
      </c>
      <c r="AR63" s="6">
        <f>[1]BASE!BW456</f>
        <v>50513819.546158783</v>
      </c>
      <c r="AS63" s="6">
        <f>[1]BASE!BX456</f>
        <v>51370528.733192883</v>
      </c>
      <c r="AT63" s="9">
        <f t="shared" si="2"/>
        <v>0</v>
      </c>
      <c r="AU63" s="9">
        <f t="shared" si="3"/>
        <v>0</v>
      </c>
      <c r="AV63" s="9">
        <f t="shared" si="4"/>
        <v>200109333.69995555</v>
      </c>
    </row>
    <row r="64" spans="1:48" x14ac:dyDescent="0.35">
      <c r="A64" t="str">
        <f>[1]BASE!H465</f>
        <v>MINERIA</v>
      </c>
      <c r="B64" t="str">
        <f>[1]BASE!I465</f>
        <v>Ganfeng</v>
      </c>
      <c r="C64">
        <f>[1]BASE!J465</f>
        <v>0</v>
      </c>
      <c r="D64" t="str">
        <f>[1]BASE!K465</f>
        <v>Minería</v>
      </c>
      <c r="E64" t="str">
        <f>[1]BASE!L465</f>
        <v>Guemes</v>
      </c>
      <c r="F64" t="str">
        <f>[1]BASE!M465</f>
        <v>VENTAS</v>
      </c>
      <c r="G64" t="str">
        <f>[1]BASE!N465</f>
        <v>ARS</v>
      </c>
      <c r="H64" t="str">
        <f>[1]BASE!CL465</f>
        <v xml:space="preserve">BAU </v>
      </c>
      <c r="J64" s="6">
        <f>[1]BASE!AO465</f>
        <v>5137998.18</v>
      </c>
      <c r="K64" s="6">
        <f>[1]BASE!AP465</f>
        <v>6105467.1600000001</v>
      </c>
      <c r="L64" s="6">
        <f>[1]BASE!AQ465</f>
        <v>11414064.330000002</v>
      </c>
      <c r="M64" s="6">
        <f>[1]BASE!AR465</f>
        <v>11207064.331</v>
      </c>
      <c r="N64" s="6">
        <f>[1]BASE!AS465</f>
        <v>19988356.279999975</v>
      </c>
      <c r="O64" s="6">
        <f>[1]BASE!AT465</f>
        <v>15386696.790000007</v>
      </c>
      <c r="P64" s="6">
        <f>[1]BASE!AU465</f>
        <v>17952476.810000002</v>
      </c>
      <c r="Q64" s="6">
        <f>[1]BASE!AV465</f>
        <v>23460246.740000002</v>
      </c>
      <c r="R64" s="6">
        <f>[1]BASE!AW465</f>
        <v>20137129.968999997</v>
      </c>
      <c r="S64" s="6">
        <f>[1]BASE!AX465</f>
        <v>20822131.613000005</v>
      </c>
      <c r="T64" s="6">
        <f>[1]BASE!AY465</f>
        <v>23515100.75</v>
      </c>
      <c r="U64" s="6">
        <f>[1]BASE!AZ465</f>
        <v>72446462.340999991</v>
      </c>
      <c r="V64" s="6">
        <f>[1]BASE!BA465</f>
        <v>28657034.439000003</v>
      </c>
      <c r="W64" s="6">
        <f>[1]BASE!BB465</f>
        <v>27104566.398999996</v>
      </c>
      <c r="X64" s="6">
        <f>[1]BASE!BC465</f>
        <v>25444200.43</v>
      </c>
      <c r="Y64" s="6">
        <f>[1]BASE!BD465</f>
        <v>32919651.710000016</v>
      </c>
      <c r="Z64" s="6">
        <f>[1]BASE!BE465</f>
        <v>35226168.020999998</v>
      </c>
      <c r="AA64" s="6">
        <f>[1]BASE!BF465</f>
        <v>18563564.671000004</v>
      </c>
      <c r="AB64" s="6">
        <f>[1]BASE!BG465</f>
        <v>24028645.299999997</v>
      </c>
      <c r="AC64" s="6">
        <f>[1]BASE!BH465</f>
        <v>13492546.689000003</v>
      </c>
      <c r="AD64" s="6">
        <f>[1]BASE!BI465</f>
        <v>19364310.300000004</v>
      </c>
      <c r="AE64" s="6">
        <f>[1]BASE!BJ465</f>
        <v>20877840.840000004</v>
      </c>
      <c r="AF64" s="6">
        <f>[1]BASE!BK465</f>
        <v>21716185.09999999</v>
      </c>
      <c r="AG64" s="6">
        <f>[1]BASE!BL465</f>
        <v>25094205.169999994</v>
      </c>
      <c r="AH64" s="6">
        <f>[1]BASE!BM465</f>
        <v>28687692.91</v>
      </c>
      <c r="AI64" s="6">
        <f>[1]BASE!BN465</f>
        <v>19526575.170000002</v>
      </c>
      <c r="AJ64" s="6">
        <f>[1]BASE!BO465</f>
        <v>27684454.099999998</v>
      </c>
      <c r="AK64" s="6">
        <f>[1]BASE!BP465</f>
        <v>29700098.569999997</v>
      </c>
      <c r="AL64" s="6">
        <f>[1]BASE!BQ465</f>
        <v>20084401.696391154</v>
      </c>
      <c r="AM64" s="6">
        <f>[1]BASE!BR465</f>
        <v>20305330.115051452</v>
      </c>
      <c r="AN64" s="6">
        <f>[1]BASE!BS465</f>
        <v>20528688.746317018</v>
      </c>
      <c r="AO64" s="6">
        <f>[1]BASE!BT465</f>
        <v>20754504.322526503</v>
      </c>
      <c r="AP64" s="6">
        <f>[1]BASE!BU465</f>
        <v>20982803.870074291</v>
      </c>
      <c r="AQ64" s="6">
        <f>[1]BASE!BV465</f>
        <v>21213614.712645106</v>
      </c>
      <c r="AR64" s="6">
        <f>[1]BASE!BW465</f>
        <v>17872470.395403501</v>
      </c>
      <c r="AS64" s="6">
        <f>[1]BASE!BX465</f>
        <v>18069067.569752939</v>
      </c>
      <c r="AT64" s="9">
        <f t="shared" si="2"/>
        <v>247573195.294</v>
      </c>
      <c r="AU64" s="9">
        <f t="shared" si="3"/>
        <v>292488919.06900007</v>
      </c>
      <c r="AV64" s="9">
        <f t="shared" si="4"/>
        <v>265409702.17816198</v>
      </c>
    </row>
    <row r="65" spans="1:48" x14ac:dyDescent="0.35">
      <c r="A65" t="str">
        <f>[1]BASE!H474</f>
        <v>OTRAS OP DEDICADAS</v>
      </c>
      <c r="B65" t="str">
        <f>[1]BASE!I474</f>
        <v>Vestas</v>
      </c>
      <c r="C65">
        <f>[1]BASE!J474</f>
        <v>0</v>
      </c>
      <c r="D65" t="str">
        <f>[1]BASE!K474</f>
        <v>Parque Eólico</v>
      </c>
      <c r="E65" t="str">
        <f>[1]BASE!L474</f>
        <v>Vestas - La Rinconada</v>
      </c>
      <c r="F65" t="str">
        <f>[1]BASE!M474</f>
        <v>VENTAS</v>
      </c>
      <c r="G65" t="str">
        <f>[1]BASE!N474</f>
        <v>ARS</v>
      </c>
      <c r="H65" t="str">
        <f>[1]BASE!CL474</f>
        <v>NN</v>
      </c>
      <c r="J65" s="6">
        <f>[1]BASE!AO474</f>
        <v>0</v>
      </c>
      <c r="K65" s="6">
        <f>[1]BASE!AP474</f>
        <v>0</v>
      </c>
      <c r="L65" s="6">
        <f>[1]BASE!AQ474</f>
        <v>0</v>
      </c>
      <c r="M65" s="6">
        <f>[1]BASE!AR474</f>
        <v>0</v>
      </c>
      <c r="N65" s="6">
        <f>[1]BASE!AS474</f>
        <v>0</v>
      </c>
      <c r="O65" s="6">
        <f>[1]BASE!AT474</f>
        <v>0</v>
      </c>
      <c r="P65" s="6">
        <f>[1]BASE!AU474</f>
        <v>0</v>
      </c>
      <c r="Q65" s="6">
        <f>[1]BASE!AV474</f>
        <v>0</v>
      </c>
      <c r="R65" s="6">
        <f>[1]BASE!AW474</f>
        <v>0</v>
      </c>
      <c r="S65" s="6">
        <f>[1]BASE!AX474</f>
        <v>0</v>
      </c>
      <c r="T65" s="6">
        <f>[1]BASE!AY474</f>
        <v>0</v>
      </c>
      <c r="U65" s="6">
        <f>[1]BASE!AZ474</f>
        <v>0</v>
      </c>
      <c r="V65" s="6">
        <f>[1]BASE!BA474</f>
        <v>2544622.14</v>
      </c>
      <c r="W65" s="6">
        <f>[1]BASE!BB474</f>
        <v>14339315.119999999</v>
      </c>
      <c r="X65" s="6">
        <f>[1]BASE!BC474</f>
        <v>14112401.091999998</v>
      </c>
      <c r="Y65" s="6">
        <f>[1]BASE!BD474</f>
        <v>14646788.934999999</v>
      </c>
      <c r="Z65" s="6">
        <f>[1]BASE!BE474</f>
        <v>19564465.875</v>
      </c>
      <c r="AA65" s="6">
        <f>[1]BASE!BF474</f>
        <v>15779225.689999999</v>
      </c>
      <c r="AB65" s="6">
        <f>[1]BASE!BG474</f>
        <v>17647832.901000001</v>
      </c>
      <c r="AC65" s="6">
        <f>[1]BASE!BH474</f>
        <v>17737786.383000001</v>
      </c>
      <c r="AD65" s="6">
        <f>[1]BASE!BI474</f>
        <v>17429849.465</v>
      </c>
      <c r="AE65" s="6">
        <f>[1]BASE!BJ474</f>
        <v>912369.5</v>
      </c>
      <c r="AF65" s="6">
        <f>[1]BASE!BK474</f>
        <v>0</v>
      </c>
      <c r="AG65" s="6">
        <f>[1]BASE!BL474</f>
        <v>0</v>
      </c>
      <c r="AH65" s="6">
        <f>[1]BASE!BM474</f>
        <v>13333521.699999999</v>
      </c>
      <c r="AI65" s="6">
        <f>[1]BASE!BN474</f>
        <v>11751228.9</v>
      </c>
      <c r="AJ65" s="6">
        <f>[1]BASE!BO474</f>
        <v>19112676.030999999</v>
      </c>
      <c r="AK65" s="6">
        <f>[1]BASE!BP474</f>
        <v>18792312.629999999</v>
      </c>
      <c r="AL65" s="6">
        <f>[1]BASE!BQ474</f>
        <v>0</v>
      </c>
      <c r="AM65" s="6">
        <f>[1]BASE!BR474</f>
        <v>22774667.948043641</v>
      </c>
      <c r="AN65" s="6">
        <f>[1]BASE!BS474</f>
        <v>23025189.295472119</v>
      </c>
      <c r="AO65" s="6">
        <f>[1]BASE!BT474</f>
        <v>23278466.377722308</v>
      </c>
      <c r="AP65" s="6">
        <f>[1]BASE!BU474</f>
        <v>23534529.507877253</v>
      </c>
      <c r="AQ65" s="6">
        <f>[1]BASE!BV474</f>
        <v>23793409.332463898</v>
      </c>
      <c r="AR65" s="6">
        <f>[1]BASE!BW474</f>
        <v>24055136.835120998</v>
      </c>
      <c r="AS65" s="6">
        <f>[1]BASE!BX474</f>
        <v>27882209.021082357</v>
      </c>
      <c r="AT65" s="9">
        <f t="shared" si="2"/>
        <v>0</v>
      </c>
      <c r="AU65" s="9">
        <f t="shared" si="3"/>
        <v>134714657.10100001</v>
      </c>
      <c r="AV65" s="9">
        <f t="shared" si="4"/>
        <v>231333347.57878256</v>
      </c>
    </row>
    <row r="66" spans="1:48" x14ac:dyDescent="0.35">
      <c r="A66" t="str">
        <f>[1]BASE!H480</f>
        <v>OTRAS OP DEDICADAS</v>
      </c>
      <c r="B66" t="str">
        <f>[1]BASE!I480</f>
        <v>PECOM</v>
      </c>
      <c r="C66">
        <f>[1]BASE!J480</f>
        <v>0</v>
      </c>
      <c r="D66" t="str">
        <f>[1]BASE!K480</f>
        <v>AP</v>
      </c>
      <c r="E66" t="str">
        <f>[1]BASE!L480</f>
        <v>PECOM</v>
      </c>
      <c r="F66" t="str">
        <f>[1]BASE!M480</f>
        <v>VENTAS</v>
      </c>
      <c r="G66" t="str">
        <f>[1]BASE!N480</f>
        <v>ARS</v>
      </c>
      <c r="H66" t="str">
        <f>[1]BASE!CL480</f>
        <v>BAU bis</v>
      </c>
      <c r="J66" s="6">
        <f>[1]BASE!AO480</f>
        <v>0</v>
      </c>
      <c r="K66" s="6">
        <f>[1]BASE!AP480</f>
        <v>0</v>
      </c>
      <c r="L66" s="6">
        <f>[1]BASE!AQ480</f>
        <v>0</v>
      </c>
      <c r="M66" s="6">
        <f>[1]BASE!AR480</f>
        <v>0</v>
      </c>
      <c r="N66" s="6">
        <f>[1]BASE!AS480</f>
        <v>0</v>
      </c>
      <c r="O66" s="6">
        <f>[1]BASE!AT480</f>
        <v>0</v>
      </c>
      <c r="P66" s="6">
        <f>[1]BASE!AU480</f>
        <v>0</v>
      </c>
      <c r="Q66" s="6">
        <f>[1]BASE!AV480</f>
        <v>0</v>
      </c>
      <c r="R66" s="6">
        <f>[1]BASE!AW480</f>
        <v>0</v>
      </c>
      <c r="S66" s="6">
        <f>[1]BASE!AX480</f>
        <v>0</v>
      </c>
      <c r="T66" s="6">
        <f>[1]BASE!AY480</f>
        <v>0</v>
      </c>
      <c r="U66" s="6">
        <f>[1]BASE!AZ480</f>
        <v>0</v>
      </c>
      <c r="V66" s="6">
        <f>[1]BASE!BA480</f>
        <v>0</v>
      </c>
      <c r="W66" s="6">
        <f>[1]BASE!BB480</f>
        <v>0</v>
      </c>
      <c r="X66" s="6">
        <f>[1]BASE!BC480</f>
        <v>0</v>
      </c>
      <c r="Y66" s="6">
        <f>[1]BASE!BD480</f>
        <v>0</v>
      </c>
      <c r="Z66" s="6">
        <f>[1]BASE!BE480</f>
        <v>0</v>
      </c>
      <c r="AA66" s="6">
        <f>[1]BASE!BF480</f>
        <v>0</v>
      </c>
      <c r="AB66" s="6">
        <f>[1]BASE!BG480</f>
        <v>0</v>
      </c>
      <c r="AC66" s="6">
        <f>[1]BASE!BH480</f>
        <v>0</v>
      </c>
      <c r="AD66" s="6">
        <f>[1]BASE!BI480</f>
        <v>0</v>
      </c>
      <c r="AE66" s="6">
        <f>[1]BASE!BJ480</f>
        <v>0</v>
      </c>
      <c r="AF66" s="6">
        <f>[1]BASE!BK480</f>
        <v>0</v>
      </c>
      <c r="AG66" s="6">
        <f>[1]BASE!BL480</f>
        <v>11605171.289999999</v>
      </c>
      <c r="AH66" s="6">
        <f>[1]BASE!BM480</f>
        <v>18827558.170000002</v>
      </c>
      <c r="AI66" s="6">
        <f>[1]BASE!BN480</f>
        <v>18432907</v>
      </c>
      <c r="AJ66" s="6">
        <f>[1]BASE!BO480</f>
        <v>20068408.379999999</v>
      </c>
      <c r="AK66" s="6">
        <f>[1]BASE!BP480</f>
        <v>20068408</v>
      </c>
      <c r="AL66" s="6">
        <f>[1]BASE!BQ480</f>
        <v>17807446.60717589</v>
      </c>
      <c r="AM66" s="6">
        <f>[1]BASE!BR480</f>
        <v>17807446.60717589</v>
      </c>
      <c r="AN66" s="6">
        <f>[1]BASE!BS480</f>
        <v>18689768.354826555</v>
      </c>
      <c r="AO66" s="6">
        <f>[1]BASE!BT480</f>
        <v>18689768.354826555</v>
      </c>
      <c r="AP66" s="6">
        <f>[1]BASE!BU480</f>
        <v>19508459.301106013</v>
      </c>
      <c r="AQ66" s="6">
        <f>[1]BASE!BV480</f>
        <v>19508459.301106013</v>
      </c>
      <c r="AR66" s="6">
        <f>[1]BASE!BW480</f>
        <v>20199241.583227899</v>
      </c>
      <c r="AS66" s="6">
        <f>[1]BASE!BX480</f>
        <v>20199241.583227899</v>
      </c>
      <c r="AT66" s="9">
        <f t="shared" si="2"/>
        <v>0</v>
      </c>
      <c r="AU66" s="9">
        <f t="shared" si="3"/>
        <v>11605171.289999999</v>
      </c>
      <c r="AV66" s="9">
        <f t="shared" si="4"/>
        <v>229807113.24267268</v>
      </c>
    </row>
    <row r="67" spans="1:48" x14ac:dyDescent="0.35">
      <c r="A67" t="str">
        <f>[1]BASE!H489</f>
        <v>MINERIA</v>
      </c>
      <c r="B67" t="str">
        <f>[1]BASE!I489</f>
        <v>Glencore</v>
      </c>
      <c r="C67">
        <f>[1]BASE!J489</f>
        <v>0</v>
      </c>
      <c r="D67" t="str">
        <f>[1]BASE!K489</f>
        <v>FIJO</v>
      </c>
      <c r="E67" t="str">
        <f>[1]BASE!L489</f>
        <v>Glencore - Mina Mara</v>
      </c>
      <c r="F67" t="str">
        <f>[1]BASE!M489</f>
        <v>VENTAS</v>
      </c>
      <c r="G67" t="str">
        <f>[1]BASE!N489</f>
        <v>ARS</v>
      </c>
      <c r="H67" t="str">
        <f>[1]BASE!CL489</f>
        <v>NN</v>
      </c>
      <c r="J67" s="6">
        <f>[1]BASE!AO489</f>
        <v>0</v>
      </c>
      <c r="K67" s="6">
        <f>[1]BASE!AP489</f>
        <v>0</v>
      </c>
      <c r="L67" s="6">
        <f>[1]BASE!AQ489</f>
        <v>0</v>
      </c>
      <c r="M67" s="6">
        <f>[1]BASE!AR489</f>
        <v>0</v>
      </c>
      <c r="N67" s="6">
        <f>[1]BASE!AS489</f>
        <v>0</v>
      </c>
      <c r="O67" s="6">
        <f>[1]BASE!AT489</f>
        <v>0</v>
      </c>
      <c r="P67" s="6">
        <f>[1]BASE!AU489</f>
        <v>0</v>
      </c>
      <c r="Q67" s="6">
        <f>[1]BASE!AV489</f>
        <v>0</v>
      </c>
      <c r="R67" s="6">
        <f>[1]BASE!AW489</f>
        <v>0</v>
      </c>
      <c r="S67" s="6">
        <f>[1]BASE!AX489</f>
        <v>0</v>
      </c>
      <c r="T67" s="6">
        <f>[1]BASE!AY489</f>
        <v>0</v>
      </c>
      <c r="U67" s="6">
        <f>[1]BASE!AZ489</f>
        <v>0</v>
      </c>
      <c r="V67" s="6">
        <f>[1]BASE!BA489</f>
        <v>0</v>
      </c>
      <c r="W67" s="6">
        <f>[1]BASE!BB489</f>
        <v>0</v>
      </c>
      <c r="X67" s="6">
        <f>[1]BASE!BC489</f>
        <v>0</v>
      </c>
      <c r="Y67" s="6">
        <f>[1]BASE!BD489</f>
        <v>0</v>
      </c>
      <c r="Z67" s="6">
        <f>[1]BASE!BE489</f>
        <v>0</v>
      </c>
      <c r="AA67" s="6">
        <f>[1]BASE!BF489</f>
        <v>0</v>
      </c>
      <c r="AB67" s="6">
        <f>[1]BASE!BG489</f>
        <v>0</v>
      </c>
      <c r="AC67" s="6">
        <f>[1]BASE!BH489</f>
        <v>0</v>
      </c>
      <c r="AD67" s="6">
        <f>[1]BASE!BI489</f>
        <v>0</v>
      </c>
      <c r="AE67" s="6">
        <f>[1]BASE!BJ489</f>
        <v>0</v>
      </c>
      <c r="AF67" s="6">
        <f>[1]BASE!BK489</f>
        <v>0</v>
      </c>
      <c r="AG67" s="6">
        <f>[1]BASE!BL489</f>
        <v>0</v>
      </c>
      <c r="AH67" s="6">
        <f>[1]BASE!BM489</f>
        <v>0</v>
      </c>
      <c r="AI67" s="6">
        <f>[1]BASE!BN489</f>
        <v>0</v>
      </c>
      <c r="AJ67" s="6">
        <f>[1]BASE!BO489</f>
        <v>0</v>
      </c>
      <c r="AK67" s="6">
        <f>[1]BASE!BP489</f>
        <v>0</v>
      </c>
      <c r="AL67" s="6">
        <f>[1]BASE!BQ489</f>
        <v>0</v>
      </c>
      <c r="AM67" s="6">
        <f>[1]BASE!BR489</f>
        <v>0</v>
      </c>
      <c r="AN67" s="6">
        <f>[1]BASE!BS489</f>
        <v>0</v>
      </c>
      <c r="AO67" s="6">
        <f>[1]BASE!BT489</f>
        <v>0</v>
      </c>
      <c r="AP67" s="6">
        <f>[1]BASE!BU489</f>
        <v>0</v>
      </c>
      <c r="AQ67" s="6">
        <f>[1]BASE!BV489</f>
        <v>0</v>
      </c>
      <c r="AR67" s="6">
        <f>[1]BASE!BW489</f>
        <v>0</v>
      </c>
      <c r="AS67" s="6">
        <f>[1]BASE!BX489</f>
        <v>0</v>
      </c>
      <c r="AT67" s="9">
        <f t="shared" si="2"/>
        <v>0</v>
      </c>
      <c r="AU67" s="9">
        <f t="shared" si="3"/>
        <v>0</v>
      </c>
      <c r="AV67" s="9">
        <f t="shared" si="4"/>
        <v>0</v>
      </c>
    </row>
    <row r="68" spans="1:48" x14ac:dyDescent="0.35">
      <c r="A68" t="str">
        <f>[1]BASE!H495</f>
        <v>MINERIA</v>
      </c>
      <c r="B68" t="str">
        <f>[1]BASE!I495</f>
        <v>Minera Arg del SUD</v>
      </c>
      <c r="C68">
        <f>[1]BASE!J495</f>
        <v>0</v>
      </c>
      <c r="D68" t="str">
        <f>[1]BASE!K495</f>
        <v>FIJO</v>
      </c>
      <c r="E68" t="str">
        <f>[1]BASE!L495</f>
        <v>Minera Arg del SUD</v>
      </c>
      <c r="F68" t="str">
        <f>[1]BASE!M495</f>
        <v>VENTAS</v>
      </c>
      <c r="G68" t="str">
        <f>[1]BASE!N495</f>
        <v>ARS</v>
      </c>
      <c r="H68" t="str">
        <f>[1]BASE!CL495</f>
        <v>NN</v>
      </c>
      <c r="J68" s="6">
        <f>[1]BASE!AO495</f>
        <v>0</v>
      </c>
      <c r="K68" s="6">
        <f>[1]BASE!AP495</f>
        <v>0</v>
      </c>
      <c r="L68" s="6">
        <f>[1]BASE!AQ495</f>
        <v>8059387.5</v>
      </c>
      <c r="M68" s="6">
        <f>[1]BASE!AR495</f>
        <v>8136576</v>
      </c>
      <c r="N68" s="6">
        <f>[1]BASE!AS495</f>
        <v>8300034</v>
      </c>
      <c r="O68" s="6">
        <f>[1]BASE!AT495</f>
        <v>9408831.75</v>
      </c>
      <c r="P68" s="6">
        <f>[1]BASE!AU495</f>
        <v>9600539.8499999996</v>
      </c>
      <c r="Q68" s="6">
        <f>[1]BASE!AV495</f>
        <v>8835725.4299999997</v>
      </c>
      <c r="R68" s="6">
        <f>[1]BASE!AW495</f>
        <v>2047897.52</v>
      </c>
      <c r="S68" s="6">
        <f>[1]BASE!AX495</f>
        <v>0</v>
      </c>
      <c r="T68" s="6">
        <f>[1]BASE!AY495</f>
        <v>0</v>
      </c>
      <c r="U68" s="6">
        <f>[1]BASE!AZ495</f>
        <v>0</v>
      </c>
      <c r="V68" s="6">
        <f>[1]BASE!BA495</f>
        <v>0</v>
      </c>
      <c r="W68" s="6">
        <f>[1]BASE!BB495</f>
        <v>0</v>
      </c>
      <c r="X68" s="6">
        <f>[1]BASE!BC495</f>
        <v>0</v>
      </c>
      <c r="Y68" s="6">
        <f>[1]BASE!BD495</f>
        <v>0</v>
      </c>
      <c r="Z68" s="6">
        <f>[1]BASE!BE495</f>
        <v>0</v>
      </c>
      <c r="AA68" s="6">
        <f>[1]BASE!BF495</f>
        <v>0</v>
      </c>
      <c r="AB68" s="6">
        <f>[1]BASE!BG495</f>
        <v>0</v>
      </c>
      <c r="AC68" s="6">
        <f>[1]BASE!BH495</f>
        <v>0</v>
      </c>
      <c r="AD68" s="6">
        <f>[1]BASE!BI495</f>
        <v>0</v>
      </c>
      <c r="AE68" s="6">
        <f>[1]BASE!BJ495</f>
        <v>0</v>
      </c>
      <c r="AF68" s="6">
        <f>[1]BASE!BK495</f>
        <v>0</v>
      </c>
      <c r="AG68" s="6">
        <f>[1]BASE!BL495</f>
        <v>0</v>
      </c>
      <c r="AH68" s="6">
        <f>[1]BASE!BM495</f>
        <v>0</v>
      </c>
      <c r="AI68" s="6">
        <f>[1]BASE!BN495</f>
        <v>0</v>
      </c>
      <c r="AJ68" s="6">
        <f>[1]BASE!BO495</f>
        <v>0</v>
      </c>
      <c r="AK68" s="6">
        <f>[1]BASE!BP495</f>
        <v>0</v>
      </c>
      <c r="AL68" s="6">
        <f>[1]BASE!BQ495</f>
        <v>0</v>
      </c>
      <c r="AM68" s="6">
        <f>[1]BASE!BR495</f>
        <v>0</v>
      </c>
      <c r="AN68" s="6">
        <f>[1]BASE!BS495</f>
        <v>0</v>
      </c>
      <c r="AO68" s="6">
        <f>[1]BASE!BT495</f>
        <v>0</v>
      </c>
      <c r="AP68" s="6">
        <f>[1]BASE!BU495</f>
        <v>10555057.048313126</v>
      </c>
      <c r="AQ68" s="6">
        <f>[1]BASE!BV495</f>
        <v>21342325.351689138</v>
      </c>
      <c r="AR68" s="6">
        <f>[1]BASE!BW495</f>
        <v>21577090.930557717</v>
      </c>
      <c r="AS68" s="6">
        <f>[1]BASE!BX495</f>
        <v>21814438.930793852</v>
      </c>
      <c r="AT68" s="9">
        <f t="shared" si="2"/>
        <v>54388992.050000004</v>
      </c>
      <c r="AU68" s="9">
        <f t="shared" si="3"/>
        <v>0</v>
      </c>
      <c r="AV68" s="9">
        <f t="shared" si="4"/>
        <v>75288912.261353835</v>
      </c>
    </row>
    <row r="69" spans="1:48" x14ac:dyDescent="0.35">
      <c r="A69" t="str">
        <f>[1]BASE!H501</f>
        <v>MINERIA</v>
      </c>
      <c r="B69" t="str">
        <f>[1]BASE!I501</f>
        <v xml:space="preserve">GWK Mineral </v>
      </c>
      <c r="C69">
        <f>[1]BASE!J501</f>
        <v>0</v>
      </c>
      <c r="D69" t="str">
        <f>[1]BASE!K501</f>
        <v>FIJO</v>
      </c>
      <c r="E69" t="str">
        <f>[1]BASE!L501</f>
        <v>Proyecto del Toro</v>
      </c>
      <c r="F69" t="str">
        <f>[1]BASE!M501</f>
        <v>VENTAS</v>
      </c>
      <c r="G69" t="str">
        <f>[1]BASE!N501</f>
        <v>ARS</v>
      </c>
      <c r="H69" t="str">
        <f>[1]BASE!CL501</f>
        <v>BAU bis</v>
      </c>
      <c r="J69" s="6">
        <f>[1]BASE!AO501</f>
        <v>0</v>
      </c>
      <c r="K69" s="6">
        <f>[1]BASE!AP501</f>
        <v>0</v>
      </c>
      <c r="L69" s="6">
        <f>[1]BASE!AQ501</f>
        <v>0</v>
      </c>
      <c r="M69" s="6">
        <f>[1]BASE!AR501</f>
        <v>0</v>
      </c>
      <c r="N69" s="6">
        <f>[1]BASE!AS501</f>
        <v>0</v>
      </c>
      <c r="O69" s="6">
        <f>[1]BASE!AT501</f>
        <v>0</v>
      </c>
      <c r="P69" s="6">
        <f>[1]BASE!AU501</f>
        <v>0</v>
      </c>
      <c r="Q69" s="6">
        <f>[1]BASE!AV501</f>
        <v>0</v>
      </c>
      <c r="R69" s="6">
        <f>[1]BASE!AW501</f>
        <v>0</v>
      </c>
      <c r="S69" s="6">
        <f>[1]BASE!AX501</f>
        <v>0</v>
      </c>
      <c r="T69" s="6">
        <f>[1]BASE!AY501</f>
        <v>0</v>
      </c>
      <c r="U69" s="6">
        <f>[1]BASE!AZ501</f>
        <v>0</v>
      </c>
      <c r="V69" s="6">
        <f>[1]BASE!BA501</f>
        <v>0</v>
      </c>
      <c r="W69" s="6">
        <f>[1]BASE!BB501</f>
        <v>0</v>
      </c>
      <c r="X69" s="6">
        <f>[1]BASE!BC501</f>
        <v>0</v>
      </c>
      <c r="Y69" s="6">
        <f>[1]BASE!BD501</f>
        <v>0</v>
      </c>
      <c r="Z69" s="6">
        <f>[1]BASE!BE501</f>
        <v>0</v>
      </c>
      <c r="AA69" s="6">
        <f>[1]BASE!BF501</f>
        <v>0</v>
      </c>
      <c r="AB69" s="6">
        <f>[1]BASE!BG501</f>
        <v>0</v>
      </c>
      <c r="AC69" s="6">
        <f>[1]BASE!BH501</f>
        <v>0</v>
      </c>
      <c r="AD69" s="6">
        <f>[1]BASE!BI501</f>
        <v>0</v>
      </c>
      <c r="AE69" s="6">
        <f>[1]BASE!BJ501</f>
        <v>0</v>
      </c>
      <c r="AF69" s="6">
        <f>[1]BASE!BK501</f>
        <v>11588755.5</v>
      </c>
      <c r="AG69" s="6">
        <f>[1]BASE!BL501</f>
        <v>20845497.611000001</v>
      </c>
      <c r="AH69" s="6">
        <f>[1]BASE!BM501</f>
        <v>20616771</v>
      </c>
      <c r="AI69" s="6">
        <f>[1]BASE!BN501</f>
        <v>19465845</v>
      </c>
      <c r="AJ69" s="6">
        <f>[1]BASE!BO501</f>
        <v>20007540</v>
      </c>
      <c r="AK69" s="6">
        <f>[1]BASE!BP501</f>
        <v>20288940</v>
      </c>
      <c r="AL69" s="6">
        <f>[1]BASE!BQ501</f>
        <v>0</v>
      </c>
      <c r="AM69" s="6">
        <f>[1]BASE!BR501</f>
        <v>0</v>
      </c>
      <c r="AN69" s="6">
        <f>[1]BASE!BS501</f>
        <v>0</v>
      </c>
      <c r="AO69" s="6">
        <f>[1]BASE!BT501</f>
        <v>0</v>
      </c>
      <c r="AP69" s="6">
        <f>[1]BASE!BU501</f>
        <v>0</v>
      </c>
      <c r="AQ69" s="6">
        <f>[1]BASE!BV501</f>
        <v>0</v>
      </c>
      <c r="AR69" s="6">
        <f>[1]BASE!BW501</f>
        <v>23319855.967256609</v>
      </c>
      <c r="AS69" s="6">
        <f>[1]BASE!BX501</f>
        <v>23576374.382896431</v>
      </c>
      <c r="AT69" s="9">
        <f t="shared" si="2"/>
        <v>0</v>
      </c>
      <c r="AU69" s="9">
        <f t="shared" si="3"/>
        <v>32434253.111000001</v>
      </c>
      <c r="AV69" s="9">
        <f t="shared" si="4"/>
        <v>127275326.35015303</v>
      </c>
    </row>
    <row r="70" spans="1:48" x14ac:dyDescent="0.35">
      <c r="A70" t="str">
        <f>[1]BASE!H507</f>
        <v>MINERIA</v>
      </c>
      <c r="B70" t="str">
        <f>[1]BASE!I507</f>
        <v>SALES DE JUJUY</v>
      </c>
      <c r="C70">
        <f>[1]BASE!J507</f>
        <v>0</v>
      </c>
      <c r="D70" t="str">
        <f>[1]BASE!K507</f>
        <v>FIJO</v>
      </c>
      <c r="E70" t="str">
        <f>[1]BASE!L507</f>
        <v>Sales de Jujuy</v>
      </c>
      <c r="F70" t="str">
        <f>[1]BASE!M507</f>
        <v>VENTAS</v>
      </c>
      <c r="G70" t="str">
        <f>[1]BASE!N507</f>
        <v>ARS</v>
      </c>
      <c r="H70" t="str">
        <f>[1]BASE!CL507</f>
        <v xml:space="preserve">BAU </v>
      </c>
      <c r="J70" s="6">
        <f>[1]BASE!AO507</f>
        <v>0</v>
      </c>
      <c r="K70" s="6">
        <f>[1]BASE!AP507</f>
        <v>0</v>
      </c>
      <c r="L70" s="6">
        <f>[1]BASE!AQ507</f>
        <v>0</v>
      </c>
      <c r="M70" s="6">
        <f>[1]BASE!AR507</f>
        <v>0</v>
      </c>
      <c r="N70" s="6">
        <f>[1]BASE!AS507</f>
        <v>0</v>
      </c>
      <c r="O70" s="6">
        <f>[1]BASE!AT507</f>
        <v>0</v>
      </c>
      <c r="P70" s="6">
        <f>[1]BASE!AU507</f>
        <v>0</v>
      </c>
      <c r="Q70" s="6">
        <f>[1]BASE!AV507</f>
        <v>8399163.5999999996</v>
      </c>
      <c r="R70" s="6">
        <f>[1]BASE!AW507</f>
        <v>0</v>
      </c>
      <c r="S70" s="6">
        <f>[1]BASE!AX507</f>
        <v>614959.97</v>
      </c>
      <c r="T70" s="6">
        <f>[1]BASE!AY507</f>
        <v>2918864</v>
      </c>
      <c r="U70" s="6">
        <f>[1]BASE!AZ507</f>
        <v>5367786.6399999997</v>
      </c>
      <c r="V70" s="6">
        <f>[1]BASE!BA507</f>
        <v>1886426.6300000001</v>
      </c>
      <c r="W70" s="6">
        <f>[1]BASE!BB507</f>
        <v>5675267.2200000007</v>
      </c>
      <c r="X70" s="6">
        <f>[1]BASE!BC507</f>
        <v>3998753.86</v>
      </c>
      <c r="Y70" s="6">
        <f>[1]BASE!BD507</f>
        <v>13840783.789999999</v>
      </c>
      <c r="Z70" s="6">
        <f>[1]BASE!BE507</f>
        <v>2933026.87</v>
      </c>
      <c r="AA70" s="6">
        <f>[1]BASE!BF507</f>
        <v>0</v>
      </c>
      <c r="AB70" s="6">
        <f>[1]BASE!BG507</f>
        <v>0</v>
      </c>
      <c r="AC70" s="6">
        <f>[1]BASE!BH507</f>
        <v>401892.75</v>
      </c>
      <c r="AD70" s="6">
        <f>[1]BASE!BI507</f>
        <v>-663622.06500000041</v>
      </c>
      <c r="AE70" s="6">
        <f>[1]BASE!BJ507</f>
        <v>0</v>
      </c>
      <c r="AF70" s="6">
        <f>[1]BASE!BK507</f>
        <v>0</v>
      </c>
      <c r="AG70" s="6">
        <f>[1]BASE!BL507</f>
        <v>0</v>
      </c>
      <c r="AH70" s="6">
        <f>[1]BASE!BM507</f>
        <v>4199119.75</v>
      </c>
      <c r="AI70" s="6">
        <f>[1]BASE!BN507</f>
        <v>0</v>
      </c>
      <c r="AJ70" s="6">
        <f>[1]BASE!BO507</f>
        <v>1.0000001639127731E-3</v>
      </c>
      <c r="AK70" s="6">
        <f>[1]BASE!BP507</f>
        <v>0</v>
      </c>
      <c r="AL70" s="6">
        <f>[1]BASE!BQ507</f>
        <v>0</v>
      </c>
      <c r="AM70" s="6">
        <f>[1]BASE!BR507</f>
        <v>0</v>
      </c>
      <c r="AN70" s="6">
        <f>[1]BASE!BS507</f>
        <v>0</v>
      </c>
      <c r="AO70" s="6">
        <f>[1]BASE!BT507</f>
        <v>0</v>
      </c>
      <c r="AP70" s="6">
        <f>[1]BASE!BU507</f>
        <v>0</v>
      </c>
      <c r="AQ70" s="6">
        <f>[1]BASE!BV507</f>
        <v>0</v>
      </c>
      <c r="AR70" s="6">
        <f>[1]BASE!BW507</f>
        <v>0</v>
      </c>
      <c r="AS70" s="6">
        <f>[1]BASE!BX507</f>
        <v>0</v>
      </c>
      <c r="AT70" s="9">
        <f t="shared" si="2"/>
        <v>17300774.210000001</v>
      </c>
      <c r="AU70" s="9">
        <f t="shared" si="3"/>
        <v>28072529.055</v>
      </c>
      <c r="AV70" s="9">
        <f t="shared" si="4"/>
        <v>4199119.7510000002</v>
      </c>
    </row>
    <row r="71" spans="1:48" x14ac:dyDescent="0.35">
      <c r="A71" t="str">
        <f>[1]BASE!H513</f>
        <v>MINERIA</v>
      </c>
      <c r="B71" t="str">
        <f>[1]BASE!I513</f>
        <v>Proyecto La Coipita</v>
      </c>
      <c r="C71">
        <f>[1]BASE!J513</f>
        <v>0</v>
      </c>
      <c r="D71">
        <f>[1]BASE!K513</f>
        <v>0</v>
      </c>
      <c r="E71" t="str">
        <f>[1]BASE!L513</f>
        <v>Proyecto La Coipita</v>
      </c>
      <c r="F71" t="str">
        <f>[1]BASE!M513</f>
        <v>VENTAS</v>
      </c>
      <c r="G71" t="str">
        <f>[1]BASE!N513</f>
        <v>ARS</v>
      </c>
      <c r="H71" t="str">
        <f>[1]BASE!CL513</f>
        <v>NN</v>
      </c>
      <c r="J71" s="6">
        <f>[1]BASE!AO513</f>
        <v>0</v>
      </c>
      <c r="K71" s="6">
        <f>[1]BASE!AP513</f>
        <v>0</v>
      </c>
      <c r="L71" s="6">
        <f>[1]BASE!AQ513</f>
        <v>0</v>
      </c>
      <c r="M71" s="6">
        <f>[1]BASE!AR513</f>
        <v>0</v>
      </c>
      <c r="N71" s="6">
        <f>[1]BASE!AS513</f>
        <v>0</v>
      </c>
      <c r="O71" s="6">
        <f>[1]BASE!AT513</f>
        <v>0</v>
      </c>
      <c r="P71" s="6">
        <f>[1]BASE!AU513</f>
        <v>0</v>
      </c>
      <c r="Q71" s="6">
        <f>[1]BASE!AV513</f>
        <v>0</v>
      </c>
      <c r="R71" s="6">
        <f>[1]BASE!AW513</f>
        <v>0</v>
      </c>
      <c r="S71" s="6">
        <f>[1]BASE!AX513</f>
        <v>0</v>
      </c>
      <c r="T71" s="6">
        <f>[1]BASE!AY513</f>
        <v>4966454.25</v>
      </c>
      <c r="U71" s="6">
        <f>[1]BASE!AZ513</f>
        <v>7290111</v>
      </c>
      <c r="V71" s="6">
        <f>[1]BASE!BA513</f>
        <v>13384545.114999998</v>
      </c>
      <c r="W71" s="6">
        <f>[1]BASE!BB513</f>
        <v>16446639.380999999</v>
      </c>
      <c r="X71" s="6">
        <f>[1]BASE!BC513</f>
        <v>16583903.235000001</v>
      </c>
      <c r="Y71" s="6">
        <f>[1]BASE!BD513</f>
        <v>10703279.9</v>
      </c>
      <c r="Z71" s="6">
        <f>[1]BASE!BE513</f>
        <v>1322532.495000001</v>
      </c>
      <c r="AA71" s="6">
        <f>[1]BASE!BF513</f>
        <v>0</v>
      </c>
      <c r="AB71" s="6">
        <f>[1]BASE!BG513</f>
        <v>0</v>
      </c>
      <c r="AC71" s="6">
        <f>[1]BASE!BH513</f>
        <v>0</v>
      </c>
      <c r="AD71" s="6">
        <f>[1]BASE!BI513</f>
        <v>0</v>
      </c>
      <c r="AE71" s="6">
        <f>[1]BASE!BJ513</f>
        <v>0</v>
      </c>
      <c r="AF71" s="6">
        <f>[1]BASE!BK513</f>
        <v>0</v>
      </c>
      <c r="AG71" s="6">
        <f>[1]BASE!BL513</f>
        <v>0</v>
      </c>
      <c r="AH71" s="6">
        <f>[1]BASE!BM513</f>
        <v>0</v>
      </c>
      <c r="AI71" s="6">
        <f>[1]BASE!BN513</f>
        <v>0</v>
      </c>
      <c r="AJ71" s="6">
        <f>[1]BASE!BO513</f>
        <v>0</v>
      </c>
      <c r="AK71" s="6">
        <f>[1]BASE!BP513</f>
        <v>0</v>
      </c>
      <c r="AL71" s="6">
        <f>[1]BASE!BQ513</f>
        <v>0</v>
      </c>
      <c r="AM71" s="6">
        <f>[1]BASE!BR513</f>
        <v>0</v>
      </c>
      <c r="AN71" s="6">
        <f>[1]BASE!BS513</f>
        <v>0</v>
      </c>
      <c r="AO71" s="6">
        <f>[1]BASE!BT513</f>
        <v>0</v>
      </c>
      <c r="AP71" s="6">
        <f>[1]BASE!BU513</f>
        <v>30853243.679684523</v>
      </c>
      <c r="AQ71" s="6">
        <f>[1]BASE!BV513</f>
        <v>31192629.360161047</v>
      </c>
      <c r="AR71" s="6">
        <f>[1]BASE!BW513</f>
        <v>31535748.283122819</v>
      </c>
      <c r="AS71" s="6">
        <f>[1]BASE!BX513</f>
        <v>31882641.514237165</v>
      </c>
      <c r="AT71" s="9">
        <f t="shared" ref="AT71:AT110" si="5">SUM(J71:U71)</f>
        <v>12256565.25</v>
      </c>
      <c r="AU71" s="9">
        <f t="shared" ref="AU71:AU110" si="6">SUM(V71:AG71)</f>
        <v>58440900.126000002</v>
      </c>
      <c r="AV71" s="9">
        <f t="shared" ref="AV71:AV110" si="7">SUM(AH71:AS71)</f>
        <v>125464262.83720556</v>
      </c>
    </row>
    <row r="72" spans="1:48" x14ac:dyDescent="0.35">
      <c r="A72" t="str">
        <f>[1]BASE!H519</f>
        <v>PETROLEO</v>
      </c>
      <c r="B72" t="str">
        <f>[1]BASE!I519</f>
        <v xml:space="preserve">PAMPA ENERGÍA </v>
      </c>
      <c r="C72">
        <f>[1]BASE!J519</f>
        <v>0</v>
      </c>
      <c r="D72" t="str">
        <f>[1]BASE!K519</f>
        <v>Minería</v>
      </c>
      <c r="E72" t="str">
        <f>[1]BASE!L519</f>
        <v xml:space="preserve">PAMPA ENERGÍA - Buenos Aires </v>
      </c>
      <c r="F72" t="str">
        <f>[1]BASE!M519</f>
        <v>VENTAS</v>
      </c>
      <c r="G72" t="str">
        <f>[1]BASE!N519</f>
        <v>ARS</v>
      </c>
      <c r="H72" t="str">
        <f>[1]BASE!CL519</f>
        <v>NN</v>
      </c>
      <c r="J72" s="6">
        <f>[1]BASE!AO519</f>
        <v>0</v>
      </c>
      <c r="K72" s="6">
        <f>[1]BASE!AP519</f>
        <v>0</v>
      </c>
      <c r="L72" s="6">
        <f>[1]BASE!AQ519</f>
        <v>0</v>
      </c>
      <c r="M72" s="6">
        <f>[1]BASE!AR519</f>
        <v>0</v>
      </c>
      <c r="N72" s="6">
        <f>[1]BASE!AS519</f>
        <v>0</v>
      </c>
      <c r="O72" s="6">
        <f>[1]BASE!AT519</f>
        <v>0</v>
      </c>
      <c r="P72" s="6">
        <f>[1]BASE!AU519</f>
        <v>0</v>
      </c>
      <c r="Q72" s="6">
        <f>[1]BASE!AV519</f>
        <v>0</v>
      </c>
      <c r="R72" s="6">
        <f>[1]BASE!AW519</f>
        <v>0</v>
      </c>
      <c r="S72" s="6">
        <f>[1]BASE!AX519</f>
        <v>0</v>
      </c>
      <c r="T72" s="6">
        <f>[1]BASE!AY519</f>
        <v>0</v>
      </c>
      <c r="U72" s="6">
        <f>[1]BASE!AZ519</f>
        <v>0</v>
      </c>
      <c r="V72" s="6">
        <f>[1]BASE!BA519</f>
        <v>0</v>
      </c>
      <c r="W72" s="6">
        <f>[1]BASE!BB519</f>
        <v>0</v>
      </c>
      <c r="X72" s="6">
        <f>[1]BASE!BC519</f>
        <v>0</v>
      </c>
      <c r="Y72" s="6">
        <f>[1]BASE!BD519</f>
        <v>0</v>
      </c>
      <c r="Z72" s="6">
        <f>[1]BASE!BE519</f>
        <v>0</v>
      </c>
      <c r="AA72" s="6">
        <f>[1]BASE!BF519</f>
        <v>0</v>
      </c>
      <c r="AB72" s="6">
        <f>[1]BASE!BG519</f>
        <v>0</v>
      </c>
      <c r="AC72" s="6">
        <f>[1]BASE!BH519</f>
        <v>0</v>
      </c>
      <c r="AD72" s="6">
        <f>[1]BASE!BI519</f>
        <v>0</v>
      </c>
      <c r="AE72" s="6">
        <f>[1]BASE!BJ519</f>
        <v>0</v>
      </c>
      <c r="AF72" s="6">
        <f>[1]BASE!BK519</f>
        <v>0</v>
      </c>
      <c r="AG72" s="6">
        <f>[1]BASE!BL519</f>
        <v>0</v>
      </c>
      <c r="AH72" s="6">
        <f>[1]BASE!BM519</f>
        <v>0</v>
      </c>
      <c r="AI72" s="6">
        <f>[1]BASE!BN519</f>
        <v>0</v>
      </c>
      <c r="AJ72" s="6">
        <f>[1]BASE!BO519</f>
        <v>0</v>
      </c>
      <c r="AK72" s="6">
        <f>[1]BASE!BP519</f>
        <v>0</v>
      </c>
      <c r="AL72" s="6">
        <f>[1]BASE!BQ519</f>
        <v>0</v>
      </c>
      <c r="AM72" s="6">
        <f>[1]BASE!BR519</f>
        <v>0</v>
      </c>
      <c r="AN72" s="6">
        <f>[1]BASE!BS519</f>
        <v>0</v>
      </c>
      <c r="AO72" s="6">
        <f>[1]BASE!BT519</f>
        <v>0</v>
      </c>
      <c r="AP72" s="6">
        <f>[1]BASE!BU519</f>
        <v>0</v>
      </c>
      <c r="AQ72" s="6">
        <f>[1]BASE!BV519</f>
        <v>0</v>
      </c>
      <c r="AR72" s="6">
        <f>[1]BASE!BW519</f>
        <v>0</v>
      </c>
      <c r="AS72" s="6">
        <f>[1]BASE!BX519</f>
        <v>0</v>
      </c>
      <c r="AT72" s="9">
        <f t="shared" si="5"/>
        <v>0</v>
      </c>
      <c r="AU72" s="9">
        <f t="shared" si="6"/>
        <v>0</v>
      </c>
      <c r="AV72" s="9">
        <f t="shared" si="7"/>
        <v>0</v>
      </c>
    </row>
    <row r="73" spans="1:48" x14ac:dyDescent="0.35">
      <c r="A73" t="str">
        <f>[1]BASE!H528</f>
        <v>PETROLEO</v>
      </c>
      <c r="B73" t="str">
        <f>[1]BASE!I528</f>
        <v>GeoPark</v>
      </c>
      <c r="C73">
        <f>[1]BASE!J528</f>
        <v>0</v>
      </c>
      <c r="D73">
        <f>[1]BASE!K528</f>
        <v>0</v>
      </c>
      <c r="E73" t="str">
        <f>[1]BASE!L528</f>
        <v>GeoPark</v>
      </c>
      <c r="F73" t="str">
        <f>[1]BASE!M528</f>
        <v>VENTAS</v>
      </c>
      <c r="G73" t="str">
        <f>[1]BASE!N528</f>
        <v>ARS</v>
      </c>
      <c r="H73" t="str">
        <f>[1]BASE!CL528</f>
        <v>NN</v>
      </c>
      <c r="J73" s="6">
        <f>[1]BASE!AO528</f>
        <v>0</v>
      </c>
      <c r="K73" s="6">
        <f>[1]BASE!AP528</f>
        <v>0</v>
      </c>
      <c r="L73" s="6">
        <f>[1]BASE!AQ528</f>
        <v>0</v>
      </c>
      <c r="M73" s="6">
        <f>[1]BASE!AR528</f>
        <v>0</v>
      </c>
      <c r="N73" s="6">
        <f>[1]BASE!AS528</f>
        <v>0</v>
      </c>
      <c r="O73" s="6">
        <f>[1]BASE!AT528</f>
        <v>0</v>
      </c>
      <c r="P73" s="6">
        <f>[1]BASE!AU528</f>
        <v>0</v>
      </c>
      <c r="Q73" s="6">
        <f>[1]BASE!AV528</f>
        <v>0</v>
      </c>
      <c r="R73" s="6">
        <f>[1]BASE!AW528</f>
        <v>0</v>
      </c>
      <c r="S73" s="6">
        <f>[1]BASE!AX528</f>
        <v>0</v>
      </c>
      <c r="T73" s="6">
        <f>[1]BASE!AY528</f>
        <v>0</v>
      </c>
      <c r="U73" s="6">
        <f>[1]BASE!AZ528</f>
        <v>0</v>
      </c>
      <c r="V73" s="6">
        <f>[1]BASE!BA528</f>
        <v>0</v>
      </c>
      <c r="W73" s="6">
        <f>[1]BASE!BB528</f>
        <v>0</v>
      </c>
      <c r="X73" s="6">
        <f>[1]BASE!BC528</f>
        <v>0</v>
      </c>
      <c r="Y73" s="6">
        <f>[1]BASE!BD528</f>
        <v>0</v>
      </c>
      <c r="Z73" s="6">
        <f>[1]BASE!BE528</f>
        <v>0</v>
      </c>
      <c r="AA73" s="6">
        <f>[1]BASE!BF528</f>
        <v>0</v>
      </c>
      <c r="AB73" s="6">
        <f>[1]BASE!BG528</f>
        <v>0</v>
      </c>
      <c r="AC73" s="6">
        <f>[1]BASE!BH528</f>
        <v>0</v>
      </c>
      <c r="AD73" s="6">
        <f>[1]BASE!BI528</f>
        <v>0</v>
      </c>
      <c r="AE73" s="6">
        <f>[1]BASE!BJ528</f>
        <v>0</v>
      </c>
      <c r="AF73" s="6">
        <f>[1]BASE!BK528</f>
        <v>0</v>
      </c>
      <c r="AG73" s="6">
        <f>[1]BASE!BL528</f>
        <v>0</v>
      </c>
      <c r="AH73" s="6">
        <f>[1]BASE!BM528</f>
        <v>0</v>
      </c>
      <c r="AI73" s="6">
        <f>[1]BASE!BN528</f>
        <v>0</v>
      </c>
      <c r="AJ73" s="6">
        <f>[1]BASE!BO528</f>
        <v>0</v>
      </c>
      <c r="AK73" s="6">
        <f>[1]BASE!BP528</f>
        <v>0</v>
      </c>
      <c r="AL73" s="6">
        <f>[1]BASE!BQ528</f>
        <v>0</v>
      </c>
      <c r="AM73" s="6">
        <f>[1]BASE!BR528</f>
        <v>0</v>
      </c>
      <c r="AN73" s="6">
        <f>[1]BASE!BS528</f>
        <v>0</v>
      </c>
      <c r="AO73" s="6">
        <f>[1]BASE!BT528</f>
        <v>0</v>
      </c>
      <c r="AP73" s="6">
        <f>[1]BASE!BU528</f>
        <v>0</v>
      </c>
      <c r="AQ73" s="6">
        <f>[1]BASE!BV528</f>
        <v>0</v>
      </c>
      <c r="AR73" s="6">
        <f>[1]BASE!BW528</f>
        <v>0</v>
      </c>
      <c r="AS73" s="6">
        <f>[1]BASE!BX528</f>
        <v>0</v>
      </c>
      <c r="AT73" s="9">
        <f t="shared" si="5"/>
        <v>0</v>
      </c>
      <c r="AU73" s="9">
        <f t="shared" si="6"/>
        <v>0</v>
      </c>
      <c r="AV73" s="9">
        <f t="shared" si="7"/>
        <v>0</v>
      </c>
    </row>
    <row r="74" spans="1:48" x14ac:dyDescent="0.35">
      <c r="A74" t="str">
        <f>[1]BASE!H537</f>
        <v>MINERIA</v>
      </c>
      <c r="B74" t="str">
        <f>[1]BASE!I537</f>
        <v>HANAQ</v>
      </c>
      <c r="C74">
        <f>[1]BASE!J537</f>
        <v>0</v>
      </c>
      <c r="D74" t="str">
        <f>[1]BASE!K537</f>
        <v>AP</v>
      </c>
      <c r="E74" t="str">
        <f>[1]BASE!L537</f>
        <v>HANAQ - La Rioja  - Caballos</v>
      </c>
      <c r="F74" t="str">
        <f>[1]BASE!M537</f>
        <v>VENTAS</v>
      </c>
      <c r="G74" t="str">
        <f>[1]BASE!N537</f>
        <v>ARS</v>
      </c>
      <c r="H74" t="str">
        <f>[1]BASE!CL537</f>
        <v>NN</v>
      </c>
      <c r="J74" s="6">
        <f>[1]BASE!AO537</f>
        <v>0</v>
      </c>
      <c r="K74" s="6">
        <f>[1]BASE!AP537</f>
        <v>0</v>
      </c>
      <c r="L74" s="6">
        <f>[1]BASE!AQ537</f>
        <v>0</v>
      </c>
      <c r="M74" s="6">
        <f>[1]BASE!AR537</f>
        <v>0</v>
      </c>
      <c r="N74" s="6">
        <f>[1]BASE!AS537</f>
        <v>0</v>
      </c>
      <c r="O74" s="6">
        <f>[1]BASE!AT537</f>
        <v>0</v>
      </c>
      <c r="P74" s="6">
        <f>[1]BASE!AU537</f>
        <v>0</v>
      </c>
      <c r="Q74" s="6">
        <f>[1]BASE!AV537</f>
        <v>0</v>
      </c>
      <c r="R74" s="6">
        <f>[1]BASE!AW537</f>
        <v>0</v>
      </c>
      <c r="S74" s="6">
        <f>[1]BASE!AX537</f>
        <v>0</v>
      </c>
      <c r="T74" s="6">
        <f>[1]BASE!AY537</f>
        <v>0</v>
      </c>
      <c r="U74" s="6">
        <f>[1]BASE!AZ537</f>
        <v>0</v>
      </c>
      <c r="V74" s="6">
        <f>[1]BASE!BA537</f>
        <v>0</v>
      </c>
      <c r="W74" s="6">
        <f>[1]BASE!BB537</f>
        <v>0</v>
      </c>
      <c r="X74" s="6">
        <f>[1]BASE!BC537</f>
        <v>0</v>
      </c>
      <c r="Y74" s="6">
        <f>[1]BASE!BD537</f>
        <v>0</v>
      </c>
      <c r="Z74" s="6">
        <f>[1]BASE!BE537</f>
        <v>0</v>
      </c>
      <c r="AA74" s="6">
        <f>[1]BASE!BF537</f>
        <v>0</v>
      </c>
      <c r="AB74" s="6">
        <f>[1]BASE!BG537</f>
        <v>0</v>
      </c>
      <c r="AC74" s="6">
        <f>[1]BASE!BH537</f>
        <v>0</v>
      </c>
      <c r="AD74" s="6">
        <f>[1]BASE!BI537</f>
        <v>0</v>
      </c>
      <c r="AE74" s="6">
        <f>[1]BASE!BJ537</f>
        <v>0</v>
      </c>
      <c r="AF74" s="6">
        <f>[1]BASE!BK537</f>
        <v>0</v>
      </c>
      <c r="AG74" s="6">
        <f>[1]BASE!BL537</f>
        <v>0</v>
      </c>
      <c r="AH74" s="6">
        <f>[1]BASE!BM537</f>
        <v>0</v>
      </c>
      <c r="AI74" s="6">
        <f>[1]BASE!BN537</f>
        <v>0</v>
      </c>
      <c r="AJ74" s="6">
        <f>[1]BASE!BO537</f>
        <v>0</v>
      </c>
      <c r="AK74" s="6">
        <f>[1]BASE!BP537</f>
        <v>0</v>
      </c>
      <c r="AL74" s="6">
        <f>[1]BASE!BQ537</f>
        <v>0</v>
      </c>
      <c r="AM74" s="6">
        <f>[1]BASE!BR537</f>
        <v>0</v>
      </c>
      <c r="AN74" s="6">
        <f>[1]BASE!BS537</f>
        <v>28596798.95939406</v>
      </c>
      <c r="AO74" s="6">
        <f>[1]BASE!BT537</f>
        <v>28911363.747947395</v>
      </c>
      <c r="AP74" s="6">
        <f>[1]BASE!BU537</f>
        <v>29229388.749174811</v>
      </c>
      <c r="AQ74" s="6">
        <f>[1]BASE!BV537</f>
        <v>0</v>
      </c>
      <c r="AR74" s="6">
        <f>[1]BASE!BW537</f>
        <v>0</v>
      </c>
      <c r="AS74" s="6">
        <f>[1]BASE!BX537</f>
        <v>0</v>
      </c>
      <c r="AT74" s="9">
        <f t="shared" si="5"/>
        <v>0</v>
      </c>
      <c r="AU74" s="9">
        <f t="shared" si="6"/>
        <v>0</v>
      </c>
      <c r="AV74" s="9">
        <f t="shared" si="7"/>
        <v>86737551.456516266</v>
      </c>
    </row>
    <row r="75" spans="1:48" x14ac:dyDescent="0.35">
      <c r="A75" t="str">
        <f>[1]BASE!H546</f>
        <v>MINERIA</v>
      </c>
      <c r="B75" t="str">
        <f>[1]BASE!I546</f>
        <v>HANAQ</v>
      </c>
      <c r="C75">
        <f>[1]BASE!J546</f>
        <v>0</v>
      </c>
      <c r="D75" t="str">
        <f>[1]BASE!K546</f>
        <v>AP</v>
      </c>
      <c r="E75" t="str">
        <f>[1]BASE!L546</f>
        <v xml:space="preserve">HANAQ - Jujuy - Providencia </v>
      </c>
      <c r="F75" t="str">
        <f>[1]BASE!M546</f>
        <v>VENTAS</v>
      </c>
      <c r="G75" t="str">
        <f>[1]BASE!N546</f>
        <v>ARS</v>
      </c>
      <c r="H75" t="str">
        <f>[1]BASE!CL546</f>
        <v>NN</v>
      </c>
      <c r="J75" s="6">
        <f>[1]BASE!AO546</f>
        <v>0</v>
      </c>
      <c r="K75" s="6">
        <f>[1]BASE!AP546</f>
        <v>0</v>
      </c>
      <c r="L75" s="6">
        <f>[1]BASE!AQ546</f>
        <v>0</v>
      </c>
      <c r="M75" s="6">
        <f>[1]BASE!AR546</f>
        <v>0</v>
      </c>
      <c r="N75" s="6">
        <f>[1]BASE!AS546</f>
        <v>0</v>
      </c>
      <c r="O75" s="6">
        <f>[1]BASE!AT546</f>
        <v>0</v>
      </c>
      <c r="P75" s="6">
        <f>[1]BASE!AU546</f>
        <v>0</v>
      </c>
      <c r="Q75" s="6">
        <f>[1]BASE!AV546</f>
        <v>0</v>
      </c>
      <c r="R75" s="6">
        <f>[1]BASE!AW546</f>
        <v>0</v>
      </c>
      <c r="S75" s="6">
        <f>[1]BASE!AX546</f>
        <v>0</v>
      </c>
      <c r="T75" s="6">
        <f>[1]BASE!AY546</f>
        <v>0</v>
      </c>
      <c r="U75" s="6">
        <f>[1]BASE!AZ546</f>
        <v>0</v>
      </c>
      <c r="V75" s="6">
        <f>[1]BASE!BA546</f>
        <v>0</v>
      </c>
      <c r="W75" s="6">
        <f>[1]BASE!BB546</f>
        <v>0</v>
      </c>
      <c r="X75" s="6">
        <f>[1]BASE!BC546</f>
        <v>0</v>
      </c>
      <c r="Y75" s="6">
        <f>[1]BASE!BD546</f>
        <v>0</v>
      </c>
      <c r="Z75" s="6">
        <f>[1]BASE!BE546</f>
        <v>0</v>
      </c>
      <c r="AA75" s="6">
        <f>[1]BASE!BF546</f>
        <v>0</v>
      </c>
      <c r="AB75" s="6">
        <f>[1]BASE!BG546</f>
        <v>0</v>
      </c>
      <c r="AC75" s="6">
        <f>[1]BASE!BH546</f>
        <v>0</v>
      </c>
      <c r="AD75" s="6">
        <f>[1]BASE!BI546</f>
        <v>0</v>
      </c>
      <c r="AE75" s="6">
        <f>[1]BASE!BJ546</f>
        <v>0</v>
      </c>
      <c r="AF75" s="6">
        <f>[1]BASE!BK546</f>
        <v>0</v>
      </c>
      <c r="AG75" s="6">
        <f>[1]BASE!BL546</f>
        <v>0</v>
      </c>
      <c r="AH75" s="6">
        <f>[1]BASE!BM546</f>
        <v>0</v>
      </c>
      <c r="AI75" s="6">
        <f>[1]BASE!BN546</f>
        <v>0</v>
      </c>
      <c r="AJ75" s="6">
        <f>[1]BASE!BO546</f>
        <v>0</v>
      </c>
      <c r="AK75" s="6">
        <f>[1]BASE!BP546</f>
        <v>0</v>
      </c>
      <c r="AL75" s="6">
        <f>[1]BASE!BQ546</f>
        <v>0</v>
      </c>
      <c r="AM75" s="6">
        <f>[1]BASE!BR546</f>
        <v>0</v>
      </c>
      <c r="AN75" s="6">
        <f>[1]BASE!BS546</f>
        <v>0</v>
      </c>
      <c r="AO75" s="6">
        <f>[1]BASE!BT546</f>
        <v>0</v>
      </c>
      <c r="AP75" s="6">
        <f>[1]BASE!BU546</f>
        <v>0</v>
      </c>
      <c r="AQ75" s="6">
        <f>[1]BASE!BV546</f>
        <v>0</v>
      </c>
      <c r="AR75" s="6">
        <f>[1]BASE!BW546</f>
        <v>0</v>
      </c>
      <c r="AS75" s="6">
        <f>[1]BASE!BX546</f>
        <v>0</v>
      </c>
      <c r="AT75" s="9">
        <f t="shared" si="5"/>
        <v>0</v>
      </c>
      <c r="AU75" s="9">
        <f t="shared" si="6"/>
        <v>0</v>
      </c>
      <c r="AV75" s="9">
        <f t="shared" si="7"/>
        <v>0</v>
      </c>
    </row>
    <row r="76" spans="1:48" x14ac:dyDescent="0.35">
      <c r="A76" t="str">
        <f>[1]BASE!H555</f>
        <v>MINERIA</v>
      </c>
      <c r="B76" t="str">
        <f>[1]BASE!I555</f>
        <v>Lundin GOLD</v>
      </c>
      <c r="C76" t="str">
        <f>[1]BASE!J555</f>
        <v>N/A</v>
      </c>
      <c r="D76" t="str">
        <f>[1]BASE!K555</f>
        <v>Minería</v>
      </c>
      <c r="E76" t="str">
        <f>[1]BASE!L555</f>
        <v>JOSE MARÍA USD</v>
      </c>
      <c r="F76" t="str">
        <f>[1]BASE!M555</f>
        <v>VENTAS</v>
      </c>
      <c r="G76" t="str">
        <f>[1]BASE!N555</f>
        <v>ARS</v>
      </c>
      <c r="H76" t="str">
        <f>[1]BASE!CL555</f>
        <v xml:space="preserve">BAU </v>
      </c>
      <c r="J76" s="6">
        <f>[1]BASE!AO555</f>
        <v>0</v>
      </c>
      <c r="K76" s="6">
        <f>[1]BASE!AP555</f>
        <v>0</v>
      </c>
      <c r="L76" s="6">
        <f>[1]BASE!AQ555</f>
        <v>0</v>
      </c>
      <c r="M76" s="6">
        <f>[1]BASE!AR555</f>
        <v>0</v>
      </c>
      <c r="N76" s="6">
        <f>[1]BASE!AS555</f>
        <v>0</v>
      </c>
      <c r="O76" s="6">
        <f>[1]BASE!AT555</f>
        <v>0</v>
      </c>
      <c r="P76" s="6">
        <f>[1]BASE!AU555</f>
        <v>0</v>
      </c>
      <c r="Q76" s="6">
        <f>[1]BASE!AV555</f>
        <v>0</v>
      </c>
      <c r="R76" s="6">
        <f>[1]BASE!AW555</f>
        <v>0</v>
      </c>
      <c r="S76" s="6">
        <f>[1]BASE!AX555</f>
        <v>0</v>
      </c>
      <c r="T76" s="6">
        <f>[1]BASE!AY555</f>
        <v>0</v>
      </c>
      <c r="U76" s="6">
        <f>[1]BASE!AZ555</f>
        <v>0</v>
      </c>
      <c r="V76" s="6">
        <f>[1]BASE!BA555</f>
        <v>0</v>
      </c>
      <c r="W76" s="6">
        <f>[1]BASE!BB555</f>
        <v>0</v>
      </c>
      <c r="X76" s="6">
        <f>[1]BASE!BC555</f>
        <v>0</v>
      </c>
      <c r="Y76" s="6">
        <f>[1]BASE!BD555</f>
        <v>0</v>
      </c>
      <c r="Z76" s="6">
        <f>[1]BASE!BE555</f>
        <v>0</v>
      </c>
      <c r="AA76" s="6">
        <f>[1]BASE!BF555</f>
        <v>0</v>
      </c>
      <c r="AB76" s="6">
        <f>[1]BASE!BG555</f>
        <v>0</v>
      </c>
      <c r="AC76" s="6">
        <f>[1]BASE!BH555</f>
        <v>0</v>
      </c>
      <c r="AD76" s="6">
        <f>[1]BASE!BI555</f>
        <v>0</v>
      </c>
      <c r="AE76" s="6">
        <f>[1]BASE!BJ555</f>
        <v>0</v>
      </c>
      <c r="AF76" s="6">
        <f>[1]BASE!BK555</f>
        <v>0</v>
      </c>
      <c r="AG76" s="6">
        <f>[1]BASE!BL555</f>
        <v>0</v>
      </c>
      <c r="AH76" s="6">
        <f>[1]BASE!BM555</f>
        <v>0</v>
      </c>
      <c r="AI76" s="6">
        <f>[1]BASE!BN555</f>
        <v>0</v>
      </c>
      <c r="AJ76" s="6">
        <f>[1]BASE!BO555</f>
        <v>0</v>
      </c>
      <c r="AK76" s="6">
        <f>[1]BASE!BP555</f>
        <v>0</v>
      </c>
      <c r="AL76" s="6">
        <f>[1]BASE!BQ555</f>
        <v>722086774.5866611</v>
      </c>
      <c r="AM76" s="6">
        <f>[1]BASE!BR555</f>
        <v>755128895.20264447</v>
      </c>
      <c r="AN76" s="6">
        <f>[1]BASE!BS555</f>
        <v>763435313.04987347</v>
      </c>
      <c r="AO76" s="6">
        <f>[1]BASE!BT555</f>
        <v>834741929.58925569</v>
      </c>
      <c r="AP76" s="6">
        <f>[1]BASE!BU555</f>
        <v>856547220.74942625</v>
      </c>
      <c r="AQ76" s="6">
        <f>[1]BASE!BV555</f>
        <v>865969240.17766976</v>
      </c>
      <c r="AR76" s="6">
        <f>[1]BASE!BW555</f>
        <v>875494901.81962407</v>
      </c>
      <c r="AS76" s="6">
        <f>[1]BASE!BX555</f>
        <v>885125345.73963988</v>
      </c>
      <c r="AT76" s="9">
        <f t="shared" si="5"/>
        <v>0</v>
      </c>
      <c r="AU76" s="9">
        <f t="shared" si="6"/>
        <v>0</v>
      </c>
      <c r="AV76" s="9">
        <f t="shared" si="7"/>
        <v>6558529620.9147949</v>
      </c>
    </row>
    <row r="77" spans="1:48" x14ac:dyDescent="0.35">
      <c r="A77" t="str">
        <f>[1]BASE!H560</f>
        <v>OTRAS OP DEDICADAS</v>
      </c>
      <c r="B77" t="str">
        <f>[1]BASE!I560</f>
        <v>NORDEX</v>
      </c>
      <c r="C77">
        <f>[1]BASE!J560</f>
        <v>0</v>
      </c>
      <c r="D77">
        <f>[1]BASE!K560</f>
        <v>0</v>
      </c>
      <c r="E77" t="str">
        <f>[1]BASE!L560</f>
        <v>NORDEX</v>
      </c>
      <c r="F77" t="str">
        <f>[1]BASE!M560</f>
        <v>VENTAS</v>
      </c>
      <c r="G77" t="str">
        <f>[1]BASE!N560</f>
        <v>ARS</v>
      </c>
      <c r="H77" t="str">
        <f>[1]BASE!CL560</f>
        <v>NN</v>
      </c>
      <c r="J77" s="6">
        <f>[1]BASE!AO560</f>
        <v>0</v>
      </c>
      <c r="K77" s="6">
        <f>[1]BASE!AP560</f>
        <v>0</v>
      </c>
      <c r="L77" s="6">
        <f>[1]BASE!AQ560</f>
        <v>0</v>
      </c>
      <c r="M77" s="6">
        <f>[1]BASE!AR560</f>
        <v>0</v>
      </c>
      <c r="N77" s="6">
        <f>[1]BASE!AS560</f>
        <v>0</v>
      </c>
      <c r="O77" s="6">
        <f>[1]BASE!AT560</f>
        <v>0</v>
      </c>
      <c r="P77" s="6">
        <f>[1]BASE!AU560</f>
        <v>0</v>
      </c>
      <c r="Q77" s="6">
        <f>[1]BASE!AV560</f>
        <v>0</v>
      </c>
      <c r="R77" s="6">
        <f>[1]BASE!AW560</f>
        <v>0</v>
      </c>
      <c r="S77" s="6">
        <f>[1]BASE!AX560</f>
        <v>0</v>
      </c>
      <c r="T77" s="6">
        <f>[1]BASE!AY560</f>
        <v>0</v>
      </c>
      <c r="U77" s="6">
        <f>[1]BASE!AZ560</f>
        <v>0</v>
      </c>
      <c r="V77" s="6">
        <f>[1]BASE!BA560</f>
        <v>0</v>
      </c>
      <c r="W77" s="6">
        <f>[1]BASE!BB560</f>
        <v>0</v>
      </c>
      <c r="X77" s="6">
        <f>[1]BASE!BC560</f>
        <v>0</v>
      </c>
      <c r="Y77" s="6">
        <f>[1]BASE!BD560</f>
        <v>0</v>
      </c>
      <c r="Z77" s="6">
        <f>[1]BASE!BE560</f>
        <v>0</v>
      </c>
      <c r="AA77" s="6">
        <f>[1]BASE!BF560</f>
        <v>0</v>
      </c>
      <c r="AB77" s="6">
        <f>[1]BASE!BG560</f>
        <v>0</v>
      </c>
      <c r="AC77" s="6">
        <f>[1]BASE!BH560</f>
        <v>0</v>
      </c>
      <c r="AD77" s="6">
        <f>[1]BASE!BI560</f>
        <v>0</v>
      </c>
      <c r="AE77" s="6">
        <f>[1]BASE!BJ560</f>
        <v>0</v>
      </c>
      <c r="AF77" s="6">
        <f>[1]BASE!BK560</f>
        <v>0</v>
      </c>
      <c r="AG77" s="6">
        <f>[1]BASE!BL560</f>
        <v>0</v>
      </c>
      <c r="AH77" s="6">
        <f>[1]BASE!BM560</f>
        <v>0</v>
      </c>
      <c r="AI77" s="6">
        <f>[1]BASE!BN560</f>
        <v>0</v>
      </c>
      <c r="AJ77" s="6">
        <f>[1]BASE!BO560</f>
        <v>0</v>
      </c>
      <c r="AK77" s="6">
        <f>[1]BASE!BP560</f>
        <v>0</v>
      </c>
      <c r="AL77" s="6">
        <f>[1]BASE!BQ560</f>
        <v>0</v>
      </c>
      <c r="AM77" s="6">
        <f>[1]BASE!BR560</f>
        <v>0</v>
      </c>
      <c r="AN77" s="6">
        <f>[1]BASE!BS560</f>
        <v>0</v>
      </c>
      <c r="AO77" s="6">
        <f>[1]BASE!BT560</f>
        <v>0</v>
      </c>
      <c r="AP77" s="6">
        <f>[1]BASE!BU560</f>
        <v>0</v>
      </c>
      <c r="AQ77" s="6">
        <f>[1]BASE!BV560</f>
        <v>0</v>
      </c>
      <c r="AR77" s="6">
        <f>[1]BASE!BW560</f>
        <v>0</v>
      </c>
      <c r="AS77" s="6">
        <f>[1]BASE!BX560</f>
        <v>0</v>
      </c>
      <c r="AT77" s="9">
        <f t="shared" si="5"/>
        <v>0</v>
      </c>
      <c r="AU77" s="9">
        <f t="shared" si="6"/>
        <v>0</v>
      </c>
      <c r="AV77" s="9">
        <f t="shared" si="7"/>
        <v>0</v>
      </c>
    </row>
    <row r="78" spans="1:48" x14ac:dyDescent="0.35">
      <c r="A78" t="str">
        <f>[1]BASE!H569</f>
        <v>PETROLEO</v>
      </c>
      <c r="B78" t="str">
        <f>[1]BASE!I569</f>
        <v xml:space="preserve">PAMPA ENERGÍA </v>
      </c>
      <c r="C78">
        <f>[1]BASE!J569</f>
        <v>0</v>
      </c>
      <c r="D78" t="str">
        <f>[1]BASE!K569</f>
        <v>Minería</v>
      </c>
      <c r="E78" t="str">
        <f>[1]BASE!L569</f>
        <v>PAMPA ENERGÍA - Neuquen LLL</v>
      </c>
      <c r="F78" t="str">
        <f>[1]BASE!M569</f>
        <v>VENTAS</v>
      </c>
      <c r="G78" t="str">
        <f>[1]BASE!N569</f>
        <v>ARS</v>
      </c>
      <c r="H78" t="str">
        <f>[1]BASE!CL569</f>
        <v>NN</v>
      </c>
      <c r="J78" s="6">
        <f>[1]BASE!AO569</f>
        <v>0</v>
      </c>
      <c r="K78" s="6">
        <f>[1]BASE!AP569</f>
        <v>0</v>
      </c>
      <c r="L78" s="6">
        <f>[1]BASE!AQ569</f>
        <v>0</v>
      </c>
      <c r="M78" s="6">
        <f>[1]BASE!AR569</f>
        <v>0</v>
      </c>
      <c r="N78" s="6">
        <f>[1]BASE!AS569</f>
        <v>0</v>
      </c>
      <c r="O78" s="6">
        <f>[1]BASE!AT569</f>
        <v>0</v>
      </c>
      <c r="P78" s="6">
        <f>[1]BASE!AU569</f>
        <v>0</v>
      </c>
      <c r="Q78" s="6">
        <f>[1]BASE!AV569</f>
        <v>0</v>
      </c>
      <c r="R78" s="6">
        <f>[1]BASE!AW569</f>
        <v>0</v>
      </c>
      <c r="S78" s="6">
        <f>[1]BASE!AX569</f>
        <v>0</v>
      </c>
      <c r="T78" s="6">
        <f>[1]BASE!AY569</f>
        <v>0</v>
      </c>
      <c r="U78" s="6">
        <f>[1]BASE!AZ569</f>
        <v>0</v>
      </c>
      <c r="V78" s="6">
        <f>[1]BASE!BA569</f>
        <v>0</v>
      </c>
      <c r="W78" s="6">
        <f>[1]BASE!BB569</f>
        <v>0</v>
      </c>
      <c r="X78" s="6">
        <f>[1]BASE!BC569</f>
        <v>0</v>
      </c>
      <c r="Y78" s="6">
        <f>[1]BASE!BD569</f>
        <v>0</v>
      </c>
      <c r="Z78" s="6">
        <f>[1]BASE!BE569</f>
        <v>0</v>
      </c>
      <c r="AA78" s="6">
        <f>[1]BASE!BF569</f>
        <v>0</v>
      </c>
      <c r="AB78" s="6">
        <f>[1]BASE!BG569</f>
        <v>0</v>
      </c>
      <c r="AC78" s="6">
        <f>[1]BASE!BH569</f>
        <v>0</v>
      </c>
      <c r="AD78" s="6">
        <f>[1]BASE!BI569</f>
        <v>0</v>
      </c>
      <c r="AE78" s="6">
        <f>[1]BASE!BJ569</f>
        <v>0</v>
      </c>
      <c r="AF78" s="6">
        <f>[1]BASE!BK569</f>
        <v>0</v>
      </c>
      <c r="AG78" s="6">
        <f>[1]BASE!BL569</f>
        <v>0</v>
      </c>
      <c r="AH78" s="6">
        <f>[1]BASE!BM569</f>
        <v>0</v>
      </c>
      <c r="AI78" s="6">
        <f>[1]BASE!BN569</f>
        <v>0</v>
      </c>
      <c r="AJ78" s="6">
        <f>[1]BASE!BO569</f>
        <v>0</v>
      </c>
      <c r="AK78" s="6">
        <f>[1]BASE!BP569</f>
        <v>0</v>
      </c>
      <c r="AL78" s="6">
        <f>[1]BASE!BQ569</f>
        <v>0</v>
      </c>
      <c r="AM78" s="6">
        <f>[1]BASE!BR569</f>
        <v>0</v>
      </c>
      <c r="AN78" s="6">
        <f>[1]BASE!BS569</f>
        <v>0</v>
      </c>
      <c r="AO78" s="6">
        <f>[1]BASE!BT569</f>
        <v>0</v>
      </c>
      <c r="AP78" s="6">
        <f>[1]BASE!BU569</f>
        <v>0</v>
      </c>
      <c r="AQ78" s="6">
        <f>[1]BASE!BV569</f>
        <v>0</v>
      </c>
      <c r="AR78" s="6">
        <f>[1]BASE!BW569</f>
        <v>0</v>
      </c>
      <c r="AS78" s="6">
        <f>[1]BASE!BX569</f>
        <v>0</v>
      </c>
      <c r="AT78" s="9">
        <f t="shared" si="5"/>
        <v>0</v>
      </c>
      <c r="AU78" s="9">
        <f t="shared" si="6"/>
        <v>0</v>
      </c>
      <c r="AV78" s="9">
        <f t="shared" si="7"/>
        <v>0</v>
      </c>
    </row>
    <row r="79" spans="1:48" x14ac:dyDescent="0.35">
      <c r="A79" t="str">
        <f>[1]BASE!H578</f>
        <v>PETROLEO</v>
      </c>
      <c r="B79" t="str">
        <f>[1]BASE!I578</f>
        <v>REFIPAMPA</v>
      </c>
      <c r="C79">
        <f>[1]BASE!J578</f>
        <v>0</v>
      </c>
      <c r="D79">
        <f>[1]BASE!K578</f>
        <v>0</v>
      </c>
      <c r="E79" t="str">
        <f>[1]BASE!L578</f>
        <v>REFIPAMPA</v>
      </c>
      <c r="F79" t="str">
        <f>[1]BASE!M578</f>
        <v>VENTAS</v>
      </c>
      <c r="G79" t="str">
        <f>[1]BASE!N578</f>
        <v>ARS</v>
      </c>
      <c r="H79" t="str">
        <f>[1]BASE!CL578</f>
        <v>NN</v>
      </c>
      <c r="J79" s="6">
        <f>[1]BASE!AO578</f>
        <v>0</v>
      </c>
      <c r="K79" s="6">
        <f>[1]BASE!AP578</f>
        <v>0</v>
      </c>
      <c r="L79" s="6">
        <f>[1]BASE!AQ578</f>
        <v>0</v>
      </c>
      <c r="M79" s="6">
        <f>[1]BASE!AR578</f>
        <v>0</v>
      </c>
      <c r="N79" s="6">
        <f>[1]BASE!AS578</f>
        <v>0</v>
      </c>
      <c r="O79" s="6">
        <f>[1]BASE!AT578</f>
        <v>0</v>
      </c>
      <c r="P79" s="6">
        <f>[1]BASE!AU578</f>
        <v>0</v>
      </c>
      <c r="Q79" s="6">
        <f>[1]BASE!AV578</f>
        <v>0</v>
      </c>
      <c r="R79" s="6">
        <f>[1]BASE!AW578</f>
        <v>0</v>
      </c>
      <c r="S79" s="6">
        <f>[1]BASE!AX578</f>
        <v>0</v>
      </c>
      <c r="T79" s="6">
        <f>[1]BASE!AY578</f>
        <v>0</v>
      </c>
      <c r="U79" s="6">
        <f>[1]BASE!AZ578</f>
        <v>0</v>
      </c>
      <c r="V79" s="6">
        <f>[1]BASE!BA578</f>
        <v>0</v>
      </c>
      <c r="W79" s="6">
        <f>[1]BASE!BB578</f>
        <v>0</v>
      </c>
      <c r="X79" s="6">
        <f>[1]BASE!BC578</f>
        <v>0</v>
      </c>
      <c r="Y79" s="6">
        <f>[1]BASE!BD578</f>
        <v>0</v>
      </c>
      <c r="Z79" s="6">
        <f>[1]BASE!BE578</f>
        <v>0</v>
      </c>
      <c r="AA79" s="6">
        <f>[1]BASE!BF578</f>
        <v>0</v>
      </c>
      <c r="AB79" s="6">
        <f>[1]BASE!BG578</f>
        <v>0</v>
      </c>
      <c r="AC79" s="6">
        <f>[1]BASE!BH578</f>
        <v>0</v>
      </c>
      <c r="AD79" s="6">
        <f>[1]BASE!BI578</f>
        <v>0</v>
      </c>
      <c r="AE79" s="6">
        <f>[1]BASE!BJ578</f>
        <v>0</v>
      </c>
      <c r="AF79" s="6">
        <f>[1]BASE!BK578</f>
        <v>0</v>
      </c>
      <c r="AG79" s="6">
        <f>[1]BASE!BL578</f>
        <v>0</v>
      </c>
      <c r="AH79" s="6">
        <f>[1]BASE!BM578</f>
        <v>0</v>
      </c>
      <c r="AI79" s="6">
        <f>[1]BASE!BN578</f>
        <v>0</v>
      </c>
      <c r="AJ79" s="6">
        <f>[1]BASE!BO578</f>
        <v>0</v>
      </c>
      <c r="AK79" s="6">
        <f>[1]BASE!BP578</f>
        <v>0</v>
      </c>
      <c r="AL79" s="6">
        <f>[1]BASE!BQ578</f>
        <v>0</v>
      </c>
      <c r="AM79" s="6">
        <f>[1]BASE!BR578</f>
        <v>0</v>
      </c>
      <c r="AN79" s="6">
        <f>[1]BASE!BS578</f>
        <v>0</v>
      </c>
      <c r="AO79" s="6">
        <f>[1]BASE!BT578</f>
        <v>0</v>
      </c>
      <c r="AP79" s="6">
        <f>[1]BASE!BU578</f>
        <v>0</v>
      </c>
      <c r="AQ79" s="6">
        <f>[1]BASE!BV578</f>
        <v>0</v>
      </c>
      <c r="AR79" s="6">
        <f>[1]BASE!BW578</f>
        <v>0</v>
      </c>
      <c r="AS79" s="6">
        <f>[1]BASE!BX578</f>
        <v>0</v>
      </c>
      <c r="AT79" s="9">
        <f t="shared" si="5"/>
        <v>0</v>
      </c>
      <c r="AU79" s="9">
        <f t="shared" si="6"/>
        <v>0</v>
      </c>
      <c r="AV79" s="9">
        <f t="shared" si="7"/>
        <v>0</v>
      </c>
    </row>
    <row r="80" spans="1:48" x14ac:dyDescent="0.35">
      <c r="A80" t="str">
        <f>[1]BASE!H587</f>
        <v>OTRAS OP DEDICADAS</v>
      </c>
      <c r="B80" t="str">
        <f>[1]BASE!I587</f>
        <v>SACDE</v>
      </c>
      <c r="C80">
        <f>[1]BASE!J587</f>
        <v>0</v>
      </c>
      <c r="D80" t="str">
        <f>[1]BASE!K587</f>
        <v>AP</v>
      </c>
      <c r="E80" t="str">
        <f>[1]BASE!L587</f>
        <v>SACDE - Mangrullo</v>
      </c>
      <c r="F80" t="str">
        <f>[1]BASE!M587</f>
        <v>VENTAS</v>
      </c>
      <c r="G80" t="str">
        <f>[1]BASE!N587</f>
        <v>ARS</v>
      </c>
      <c r="H80" t="str">
        <f>[1]BASE!CL587</f>
        <v>NN</v>
      </c>
      <c r="J80" s="6">
        <f>[1]BASE!AO587</f>
        <v>0</v>
      </c>
      <c r="K80" s="6">
        <f>[1]BASE!AP587</f>
        <v>0</v>
      </c>
      <c r="L80" s="6">
        <f>[1]BASE!AQ587</f>
        <v>0</v>
      </c>
      <c r="M80" s="6">
        <f>[1]BASE!AR587</f>
        <v>0</v>
      </c>
      <c r="N80" s="6">
        <f>[1]BASE!AS587</f>
        <v>0</v>
      </c>
      <c r="O80" s="6">
        <f>[1]BASE!AT587</f>
        <v>0</v>
      </c>
      <c r="P80" s="6">
        <f>[1]BASE!AU587</f>
        <v>0</v>
      </c>
      <c r="Q80" s="6">
        <f>[1]BASE!AV587</f>
        <v>0</v>
      </c>
      <c r="R80" s="6">
        <f>[1]BASE!AW587</f>
        <v>0</v>
      </c>
      <c r="S80" s="6">
        <f>[1]BASE!AX587</f>
        <v>0</v>
      </c>
      <c r="T80" s="6">
        <f>[1]BASE!AY587</f>
        <v>0</v>
      </c>
      <c r="U80" s="6">
        <f>[1]BASE!AZ587</f>
        <v>0</v>
      </c>
      <c r="V80" s="6">
        <f>[1]BASE!BA587</f>
        <v>0</v>
      </c>
      <c r="W80" s="6">
        <f>[1]BASE!BB587</f>
        <v>0</v>
      </c>
      <c r="X80" s="6">
        <f>[1]BASE!BC587</f>
        <v>0</v>
      </c>
      <c r="Y80" s="6">
        <f>[1]BASE!BD587</f>
        <v>0</v>
      </c>
      <c r="Z80" s="6">
        <f>[1]BASE!BE587</f>
        <v>0</v>
      </c>
      <c r="AA80" s="6">
        <f>[1]BASE!BF587</f>
        <v>0</v>
      </c>
      <c r="AB80" s="6">
        <f>[1]BASE!BG587</f>
        <v>0</v>
      </c>
      <c r="AC80" s="6">
        <f>[1]BASE!BH587</f>
        <v>0</v>
      </c>
      <c r="AD80" s="6">
        <f>[1]BASE!BI587</f>
        <v>0</v>
      </c>
      <c r="AE80" s="6">
        <f>[1]BASE!BJ587</f>
        <v>0</v>
      </c>
      <c r="AF80" s="6">
        <f>[1]BASE!BK587</f>
        <v>0</v>
      </c>
      <c r="AG80" s="6">
        <f>[1]BASE!BL587</f>
        <v>0</v>
      </c>
      <c r="AH80" s="6">
        <f>[1]BASE!BM587</f>
        <v>0</v>
      </c>
      <c r="AI80" s="6">
        <f>[1]BASE!BN587</f>
        <v>0</v>
      </c>
      <c r="AJ80" s="6">
        <f>[1]BASE!BO587</f>
        <v>0</v>
      </c>
      <c r="AK80" s="6">
        <f>[1]BASE!BP587</f>
        <v>0</v>
      </c>
      <c r="AL80" s="6">
        <f>[1]BASE!BQ587</f>
        <v>0</v>
      </c>
      <c r="AM80" s="6">
        <f>[1]BASE!BR587</f>
        <v>0</v>
      </c>
      <c r="AN80" s="6">
        <f>[1]BASE!BS587</f>
        <v>0</v>
      </c>
      <c r="AO80" s="6">
        <f>[1]BASE!BT587</f>
        <v>0</v>
      </c>
      <c r="AP80" s="6">
        <f>[1]BASE!BU587</f>
        <v>0</v>
      </c>
      <c r="AQ80" s="6">
        <f>[1]BASE!BV587</f>
        <v>0</v>
      </c>
      <c r="AR80" s="6">
        <f>[1]BASE!BW587</f>
        <v>0</v>
      </c>
      <c r="AS80" s="6">
        <f>[1]BASE!BX587</f>
        <v>0</v>
      </c>
      <c r="AT80" s="9">
        <f t="shared" si="5"/>
        <v>0</v>
      </c>
      <c r="AU80" s="9">
        <f t="shared" si="6"/>
        <v>0</v>
      </c>
      <c r="AV80" s="9">
        <f t="shared" si="7"/>
        <v>0</v>
      </c>
    </row>
    <row r="81" spans="1:48" x14ac:dyDescent="0.35">
      <c r="A81" t="str">
        <f>[1]BASE!H596</f>
        <v>OTRAS OP DEDICADAS</v>
      </c>
      <c r="B81" t="str">
        <f>[1]BASE!I596</f>
        <v>SACDE</v>
      </c>
      <c r="C81">
        <f>[1]BASE!J596</f>
        <v>0</v>
      </c>
      <c r="D81" t="str">
        <f>[1]BASE!K596</f>
        <v>AP</v>
      </c>
      <c r="E81" t="str">
        <f>[1]BASE!L596</f>
        <v xml:space="preserve">SACDE - Sauce Viejo </v>
      </c>
      <c r="F81" t="str">
        <f>[1]BASE!M596</f>
        <v>VENTAS</v>
      </c>
      <c r="G81" t="str">
        <f>[1]BASE!N596</f>
        <v>ARS</v>
      </c>
      <c r="H81" t="str">
        <f>[1]BASE!CL596</f>
        <v>NN</v>
      </c>
      <c r="J81" s="6">
        <f>[1]BASE!AO596</f>
        <v>0</v>
      </c>
      <c r="K81" s="6">
        <f>[1]BASE!AP596</f>
        <v>0</v>
      </c>
      <c r="L81" s="6">
        <f>[1]BASE!AQ596</f>
        <v>0</v>
      </c>
      <c r="M81" s="6">
        <f>[1]BASE!AR596</f>
        <v>0</v>
      </c>
      <c r="N81" s="6">
        <f>[1]BASE!AS596</f>
        <v>0</v>
      </c>
      <c r="O81" s="6">
        <f>[1]BASE!AT596</f>
        <v>0</v>
      </c>
      <c r="P81" s="6">
        <f>[1]BASE!AU596</f>
        <v>0</v>
      </c>
      <c r="Q81" s="6">
        <f>[1]BASE!AV596</f>
        <v>0</v>
      </c>
      <c r="R81" s="6">
        <f>[1]BASE!AW596</f>
        <v>0</v>
      </c>
      <c r="S81" s="6">
        <f>[1]BASE!AX596</f>
        <v>0</v>
      </c>
      <c r="T81" s="6">
        <f>[1]BASE!AY596</f>
        <v>0</v>
      </c>
      <c r="U81" s="6">
        <f>[1]BASE!AZ596</f>
        <v>0</v>
      </c>
      <c r="V81" s="6">
        <f>[1]BASE!BA596</f>
        <v>0</v>
      </c>
      <c r="W81" s="6">
        <f>[1]BASE!BB596</f>
        <v>0</v>
      </c>
      <c r="X81" s="6">
        <f>[1]BASE!BC596</f>
        <v>0</v>
      </c>
      <c r="Y81" s="6">
        <f>[1]BASE!BD596</f>
        <v>0</v>
      </c>
      <c r="Z81" s="6">
        <f>[1]BASE!BE596</f>
        <v>0</v>
      </c>
      <c r="AA81" s="6">
        <f>[1]BASE!BF596</f>
        <v>0</v>
      </c>
      <c r="AB81" s="6">
        <f>[1]BASE!BG596</f>
        <v>0</v>
      </c>
      <c r="AC81" s="6">
        <f>[1]BASE!BH596</f>
        <v>0</v>
      </c>
      <c r="AD81" s="6">
        <f>[1]BASE!BI596</f>
        <v>0</v>
      </c>
      <c r="AE81" s="6">
        <f>[1]BASE!BJ596</f>
        <v>0</v>
      </c>
      <c r="AF81" s="6">
        <f>[1]BASE!BK596</f>
        <v>0</v>
      </c>
      <c r="AG81" s="6">
        <f>[1]BASE!BL596</f>
        <v>0</v>
      </c>
      <c r="AH81" s="6">
        <f>[1]BASE!BM596</f>
        <v>0</v>
      </c>
      <c r="AI81" s="6">
        <f>[1]BASE!BN596</f>
        <v>0</v>
      </c>
      <c r="AJ81" s="6">
        <f>[1]BASE!BO596</f>
        <v>0</v>
      </c>
      <c r="AK81" s="6">
        <f>[1]BASE!BP596</f>
        <v>0</v>
      </c>
      <c r="AL81" s="6">
        <f>[1]BASE!BQ596</f>
        <v>0</v>
      </c>
      <c r="AM81" s="6">
        <f>[1]BASE!BR596</f>
        <v>0</v>
      </c>
      <c r="AN81" s="6">
        <f>[1]BASE!BS596</f>
        <v>0</v>
      </c>
      <c r="AO81" s="6">
        <f>[1]BASE!BT596</f>
        <v>0</v>
      </c>
      <c r="AP81" s="6">
        <f>[1]BASE!BU596</f>
        <v>0</v>
      </c>
      <c r="AQ81" s="6">
        <f>[1]BASE!BV596</f>
        <v>0</v>
      </c>
      <c r="AR81" s="6">
        <f>[1]BASE!BW596</f>
        <v>0</v>
      </c>
      <c r="AS81" s="6">
        <f>[1]BASE!BX596</f>
        <v>0</v>
      </c>
      <c r="AT81" s="9">
        <f t="shared" si="5"/>
        <v>0</v>
      </c>
      <c r="AU81" s="9">
        <f t="shared" si="6"/>
        <v>0</v>
      </c>
      <c r="AV81" s="9">
        <f t="shared" si="7"/>
        <v>0</v>
      </c>
    </row>
    <row r="82" spans="1:48" x14ac:dyDescent="0.35">
      <c r="A82" t="str">
        <f>[1]BASE!H605</f>
        <v>MINERIA</v>
      </c>
      <c r="B82" t="str">
        <f>[1]BASE!I605</f>
        <v>SESA</v>
      </c>
      <c r="C82">
        <f>[1]BASE!J605</f>
        <v>0</v>
      </c>
      <c r="D82" t="str">
        <f>[1]BASE!K605</f>
        <v>FIJO</v>
      </c>
      <c r="E82" t="str">
        <f>[1]BASE!L605</f>
        <v>Proyecto Diablillos</v>
      </c>
      <c r="F82" t="str">
        <f>[1]BASE!M605</f>
        <v>VENTAS</v>
      </c>
      <c r="G82" t="str">
        <f>[1]BASE!N605</f>
        <v>ARS</v>
      </c>
      <c r="H82" t="str">
        <f>[1]BASE!CL605</f>
        <v>NN</v>
      </c>
      <c r="J82" s="6">
        <f>[1]BASE!AO605</f>
        <v>0</v>
      </c>
      <c r="K82" s="6">
        <f>[1]BASE!AP605</f>
        <v>0</v>
      </c>
      <c r="L82" s="6">
        <f>[1]BASE!AQ605</f>
        <v>0</v>
      </c>
      <c r="M82" s="6">
        <f>[1]BASE!AR605</f>
        <v>0</v>
      </c>
      <c r="N82" s="6">
        <f>[1]BASE!AS605</f>
        <v>0</v>
      </c>
      <c r="O82" s="6">
        <f>[1]BASE!AT605</f>
        <v>0</v>
      </c>
      <c r="P82" s="6">
        <f>[1]BASE!AU605</f>
        <v>0</v>
      </c>
      <c r="Q82" s="6">
        <f>[1]BASE!AV605</f>
        <v>0</v>
      </c>
      <c r="R82" s="6">
        <f>[1]BASE!AW605</f>
        <v>0</v>
      </c>
      <c r="S82" s="6">
        <f>[1]BASE!AX605</f>
        <v>0</v>
      </c>
      <c r="T82" s="6">
        <f>[1]BASE!AY605</f>
        <v>0</v>
      </c>
      <c r="U82" s="6">
        <f>[1]BASE!AZ605</f>
        <v>0</v>
      </c>
      <c r="V82" s="6">
        <f>[1]BASE!BA605</f>
        <v>0</v>
      </c>
      <c r="W82" s="6">
        <f>[1]BASE!BB605</f>
        <v>0</v>
      </c>
      <c r="X82" s="6">
        <f>[1]BASE!BC605</f>
        <v>0</v>
      </c>
      <c r="Y82" s="6">
        <f>[1]BASE!BD605</f>
        <v>0</v>
      </c>
      <c r="Z82" s="6">
        <f>[1]BASE!BE605</f>
        <v>0</v>
      </c>
      <c r="AA82" s="6">
        <f>[1]BASE!BF605</f>
        <v>0</v>
      </c>
      <c r="AB82" s="6">
        <f>[1]BASE!BG605</f>
        <v>0</v>
      </c>
      <c r="AC82" s="6">
        <f>[1]BASE!BH605</f>
        <v>0</v>
      </c>
      <c r="AD82" s="6">
        <f>[1]BASE!BI605</f>
        <v>0</v>
      </c>
      <c r="AE82" s="6">
        <f>[1]BASE!BJ605</f>
        <v>0</v>
      </c>
      <c r="AF82" s="6">
        <f>[1]BASE!BK605</f>
        <v>0</v>
      </c>
      <c r="AG82" s="6">
        <f>[1]BASE!BL605</f>
        <v>0</v>
      </c>
      <c r="AH82" s="6">
        <f>[1]BASE!BM605</f>
        <v>0</v>
      </c>
      <c r="AI82" s="6">
        <f>[1]BASE!BN605</f>
        <v>0</v>
      </c>
      <c r="AJ82" s="6">
        <f>[1]BASE!BO605</f>
        <v>0</v>
      </c>
      <c r="AK82" s="6">
        <f>[1]BASE!BP605</f>
        <v>0</v>
      </c>
      <c r="AL82" s="6">
        <f>[1]BASE!BQ605</f>
        <v>0</v>
      </c>
      <c r="AM82" s="6">
        <f>[1]BASE!BR605</f>
        <v>0</v>
      </c>
      <c r="AN82" s="6">
        <f>[1]BASE!BS605</f>
        <v>0</v>
      </c>
      <c r="AO82" s="6">
        <f>[1]BASE!BT605</f>
        <v>12046401.561644748</v>
      </c>
      <c r="AP82" s="6">
        <f>[1]BASE!BU605</f>
        <v>24357823.957645677</v>
      </c>
      <c r="AQ82" s="6">
        <f>[1]BASE!BV605</f>
        <v>24625760.021179777</v>
      </c>
      <c r="AR82" s="6">
        <f>[1]BASE!BW605</f>
        <v>24896643.381412752</v>
      </c>
      <c r="AS82" s="6">
        <f>[1]BASE!BX605</f>
        <v>0</v>
      </c>
      <c r="AT82" s="9">
        <f t="shared" si="5"/>
        <v>0</v>
      </c>
      <c r="AU82" s="9">
        <f t="shared" si="6"/>
        <v>0</v>
      </c>
      <c r="AV82" s="9">
        <f t="shared" si="7"/>
        <v>85926628.921882957</v>
      </c>
    </row>
    <row r="83" spans="1:48" x14ac:dyDescent="0.35">
      <c r="A83" t="str">
        <f>[1]BASE!H611</f>
        <v>OTRAS OP DEDICADAS</v>
      </c>
      <c r="B83" t="str">
        <f>[1]BASE!I611</f>
        <v xml:space="preserve">INTEGRA </v>
      </c>
      <c r="C83">
        <f>[1]BASE!J611</f>
        <v>0</v>
      </c>
      <c r="D83">
        <f>[1]BASE!K611</f>
        <v>0</v>
      </c>
      <c r="E83" t="str">
        <f>[1]BASE!L611</f>
        <v xml:space="preserve">INTEGRA </v>
      </c>
      <c r="F83" t="str">
        <f>[1]BASE!M611</f>
        <v>VENTAS</v>
      </c>
      <c r="G83" t="str">
        <f>[1]BASE!N611</f>
        <v>ARS</v>
      </c>
      <c r="H83" t="str">
        <f>[1]BASE!CL611</f>
        <v xml:space="preserve">BAU </v>
      </c>
      <c r="J83" s="6">
        <f>[1]BASE!AO611</f>
        <v>0</v>
      </c>
      <c r="K83" s="6">
        <f>[1]BASE!AP611</f>
        <v>0</v>
      </c>
      <c r="L83" s="6">
        <f>[1]BASE!AQ611</f>
        <v>0</v>
      </c>
      <c r="M83" s="6">
        <f>[1]BASE!AR611</f>
        <v>0</v>
      </c>
      <c r="N83" s="6">
        <f>[1]BASE!AS611</f>
        <v>0</v>
      </c>
      <c r="O83" s="6">
        <f>[1]BASE!AT611</f>
        <v>0</v>
      </c>
      <c r="P83" s="6">
        <f>[1]BASE!AU611</f>
        <v>0</v>
      </c>
      <c r="Q83" s="6">
        <f>[1]BASE!AV611</f>
        <v>0</v>
      </c>
      <c r="R83" s="6">
        <f>[1]BASE!AW611</f>
        <v>0</v>
      </c>
      <c r="S83" s="6">
        <f>[1]BASE!AX611</f>
        <v>0</v>
      </c>
      <c r="T83" s="6">
        <f>[1]BASE!AY611</f>
        <v>0</v>
      </c>
      <c r="U83" s="6">
        <f>[1]BASE!AZ611</f>
        <v>0</v>
      </c>
      <c r="V83" s="6">
        <f>[1]BASE!BA611</f>
        <v>0</v>
      </c>
      <c r="W83" s="6">
        <f>[1]BASE!BB611</f>
        <v>0</v>
      </c>
      <c r="X83" s="6">
        <f>[1]BASE!BC611</f>
        <v>16998726.440000001</v>
      </c>
      <c r="Y83" s="6">
        <f>[1]BASE!BD611</f>
        <v>16998726.440000001</v>
      </c>
      <c r="Z83" s="6">
        <f>[1]BASE!BE611</f>
        <v>18122984.98</v>
      </c>
      <c r="AA83" s="6">
        <f>[1]BASE!BF611</f>
        <v>18122984.98</v>
      </c>
      <c r="AB83" s="6">
        <f>[1]BASE!BG611</f>
        <v>18692916.720000003</v>
      </c>
      <c r="AC83" s="6">
        <f>[1]BASE!BH611</f>
        <v>18692916.730999999</v>
      </c>
      <c r="AD83" s="6">
        <f>[1]BASE!BI611</f>
        <v>19405635.57</v>
      </c>
      <c r="AE83" s="6">
        <f>[1]BASE!BJ611</f>
        <v>5007905.9510000022</v>
      </c>
      <c r="AF83" s="6">
        <f>[1]BASE!BK611</f>
        <v>1.0000001639127731E-3</v>
      </c>
      <c r="AG83" s="6">
        <f>[1]BASE!BL611</f>
        <v>13534647.231000001</v>
      </c>
      <c r="AH83" s="6">
        <f>[1]BASE!BM611</f>
        <v>19979717.329999998</v>
      </c>
      <c r="AI83" s="6">
        <f>[1]BASE!BN611</f>
        <v>21140252.641000003</v>
      </c>
      <c r="AJ83" s="6">
        <f>[1]BASE!BO611</f>
        <v>21140244.479999997</v>
      </c>
      <c r="AK83" s="6">
        <f>[1]BASE!BP611</f>
        <v>22488414.850000001</v>
      </c>
      <c r="AL83" s="6">
        <f>[1]BASE!BQ611</f>
        <v>22456649.276037589</v>
      </c>
      <c r="AM83" s="6">
        <f>[1]BASE!BR611</f>
        <v>23615318.230607383</v>
      </c>
      <c r="AN83" s="6">
        <f>[1]BASE!BS611</f>
        <v>0</v>
      </c>
      <c r="AO83" s="6">
        <f>[1]BASE!BT611</f>
        <v>0</v>
      </c>
      <c r="AP83" s="6">
        <f>[1]BASE!BU611</f>
        <v>0</v>
      </c>
      <c r="AQ83" s="6">
        <f>[1]BASE!BV611</f>
        <v>0</v>
      </c>
      <c r="AR83" s="6">
        <f>[1]BASE!BW611</f>
        <v>0</v>
      </c>
      <c r="AS83" s="6">
        <f>[1]BASE!BX611</f>
        <v>0</v>
      </c>
      <c r="AT83" s="9">
        <f t="shared" si="5"/>
        <v>0</v>
      </c>
      <c r="AU83" s="9">
        <f t="shared" si="6"/>
        <v>145577445.044</v>
      </c>
      <c r="AV83" s="9">
        <f t="shared" si="7"/>
        <v>130820596.80764496</v>
      </c>
    </row>
    <row r="84" spans="1:48" x14ac:dyDescent="0.35">
      <c r="A84" t="str">
        <f>[1]BASE!H620</f>
        <v>OTRAS OP DEDICADAS</v>
      </c>
      <c r="B84" t="str">
        <f>[1]BASE!I620</f>
        <v>EPEN</v>
      </c>
      <c r="C84">
        <f>[1]BASE!J620</f>
        <v>0</v>
      </c>
      <c r="D84">
        <f>[1]BASE!K620</f>
        <v>0</v>
      </c>
      <c r="E84" t="str">
        <f>[1]BASE!L620</f>
        <v>Obras Infraestructura EPEN</v>
      </c>
      <c r="F84" t="str">
        <f>[1]BASE!M620</f>
        <v>VENTAS</v>
      </c>
      <c r="G84" t="str">
        <f>[1]BASE!N620</f>
        <v>ARS</v>
      </c>
      <c r="H84" t="str">
        <f>[1]BASE!CL620</f>
        <v>NN</v>
      </c>
      <c r="J84" s="6">
        <f>[1]BASE!AO620</f>
        <v>0</v>
      </c>
      <c r="K84" s="6">
        <f>[1]BASE!AP620</f>
        <v>0</v>
      </c>
      <c r="L84" s="6">
        <f>[1]BASE!AQ620</f>
        <v>0</v>
      </c>
      <c r="M84" s="6">
        <f>[1]BASE!AR620</f>
        <v>0</v>
      </c>
      <c r="N84" s="6">
        <f>[1]BASE!AS620</f>
        <v>0</v>
      </c>
      <c r="O84" s="6">
        <f>[1]BASE!AT620</f>
        <v>0</v>
      </c>
      <c r="P84" s="6">
        <f>[1]BASE!AU620</f>
        <v>0</v>
      </c>
      <c r="Q84" s="6">
        <f>[1]BASE!AV620</f>
        <v>0</v>
      </c>
      <c r="R84" s="6">
        <f>[1]BASE!AW620</f>
        <v>0</v>
      </c>
      <c r="S84" s="6">
        <f>[1]BASE!AX620</f>
        <v>0</v>
      </c>
      <c r="T84" s="6">
        <f>[1]BASE!AY620</f>
        <v>0</v>
      </c>
      <c r="U84" s="6">
        <f>[1]BASE!AZ620</f>
        <v>0</v>
      </c>
      <c r="V84" s="6">
        <f>[1]BASE!BA620</f>
        <v>0</v>
      </c>
      <c r="W84" s="6">
        <f>[1]BASE!BB620</f>
        <v>0</v>
      </c>
      <c r="X84" s="6">
        <f>[1]BASE!BC620</f>
        <v>0</v>
      </c>
      <c r="Y84" s="6">
        <f>[1]BASE!BD620</f>
        <v>0</v>
      </c>
      <c r="Z84" s="6">
        <f>[1]BASE!BE620</f>
        <v>0</v>
      </c>
      <c r="AA84" s="6">
        <f>[1]BASE!BF620</f>
        <v>0</v>
      </c>
      <c r="AB84" s="6">
        <f>[1]BASE!BG620</f>
        <v>0</v>
      </c>
      <c r="AC84" s="6">
        <f>[1]BASE!BH620</f>
        <v>0</v>
      </c>
      <c r="AD84" s="6">
        <f>[1]BASE!BI620</f>
        <v>0</v>
      </c>
      <c r="AE84" s="6">
        <f>[1]BASE!BJ620</f>
        <v>0</v>
      </c>
      <c r="AF84" s="6">
        <f>[1]BASE!BK620</f>
        <v>0</v>
      </c>
      <c r="AG84" s="6">
        <f>[1]BASE!BL620</f>
        <v>0</v>
      </c>
      <c r="AH84" s="6">
        <f>[1]BASE!BM620</f>
        <v>0</v>
      </c>
      <c r="AI84" s="6">
        <f>[1]BASE!BN620</f>
        <v>0</v>
      </c>
      <c r="AJ84" s="6">
        <f>[1]BASE!BO620</f>
        <v>0</v>
      </c>
      <c r="AK84" s="6">
        <f>[1]BASE!BP620</f>
        <v>0</v>
      </c>
      <c r="AL84" s="6">
        <f>[1]BASE!BQ620</f>
        <v>0</v>
      </c>
      <c r="AM84" s="6">
        <f>[1]BASE!BR620</f>
        <v>0</v>
      </c>
      <c r="AN84" s="6">
        <f>[1]BASE!BS620</f>
        <v>5576199.6654041903</v>
      </c>
      <c r="AO84" s="6">
        <f>[1]BASE!BT620</f>
        <v>5715604.657039295</v>
      </c>
      <c r="AP84" s="6">
        <f>[1]BASE!BU620</f>
        <v>5845968.6635198286</v>
      </c>
      <c r="AQ84" s="6">
        <f>[1]BASE!BV620</f>
        <v>5965972.3286119811</v>
      </c>
      <c r="AR84" s="6">
        <f>[1]BASE!BW620</f>
        <v>6076192.6749449112</v>
      </c>
      <c r="AS84" s="6">
        <f>[1]BASE!BX620</f>
        <v>6177223.6589515824</v>
      </c>
      <c r="AT84" s="9">
        <f t="shared" si="5"/>
        <v>0</v>
      </c>
      <c r="AU84" s="9">
        <f t="shared" si="6"/>
        <v>0</v>
      </c>
      <c r="AV84" s="9">
        <f t="shared" si="7"/>
        <v>35357161.648471788</v>
      </c>
    </row>
    <row r="85" spans="1:48" x14ac:dyDescent="0.35">
      <c r="A85" t="str">
        <f>[1]BASE!H629</f>
        <v>OTRAS OP DEDICADAS</v>
      </c>
      <c r="B85" t="str">
        <f>[1]BASE!I629</f>
        <v>TGS</v>
      </c>
      <c r="C85">
        <f>[1]BASE!J629</f>
        <v>0</v>
      </c>
      <c r="D85">
        <f>[1]BASE!K629</f>
        <v>0</v>
      </c>
      <c r="E85" t="str">
        <f>[1]BASE!L629</f>
        <v xml:space="preserve">TGS - Río Salado </v>
      </c>
      <c r="F85" t="str">
        <f>[1]BASE!M629</f>
        <v>VENTAS</v>
      </c>
      <c r="G85" t="str">
        <f>[1]BASE!N629</f>
        <v>ARS</v>
      </c>
      <c r="H85" t="str">
        <f>[1]BASE!CL629</f>
        <v>NN</v>
      </c>
      <c r="J85" s="6">
        <f>[1]BASE!AO629</f>
        <v>0</v>
      </c>
      <c r="K85" s="6">
        <f>[1]BASE!AP629</f>
        <v>0</v>
      </c>
      <c r="L85" s="6">
        <f>[1]BASE!AQ629</f>
        <v>0</v>
      </c>
      <c r="M85" s="6">
        <f>[1]BASE!AR629</f>
        <v>0</v>
      </c>
      <c r="N85" s="6">
        <f>[1]BASE!AS629</f>
        <v>0</v>
      </c>
      <c r="O85" s="6">
        <f>[1]BASE!AT629</f>
        <v>0</v>
      </c>
      <c r="P85" s="6">
        <f>[1]BASE!AU629</f>
        <v>0</v>
      </c>
      <c r="Q85" s="6">
        <f>[1]BASE!AV629</f>
        <v>0</v>
      </c>
      <c r="R85" s="6">
        <f>[1]BASE!AW629</f>
        <v>0</v>
      </c>
      <c r="S85" s="6">
        <f>[1]BASE!AX629</f>
        <v>0</v>
      </c>
      <c r="T85" s="6">
        <f>[1]BASE!AY629</f>
        <v>0</v>
      </c>
      <c r="U85" s="6">
        <f>[1]BASE!AZ629</f>
        <v>0</v>
      </c>
      <c r="V85" s="6">
        <f>[1]BASE!BA629</f>
        <v>0</v>
      </c>
      <c r="W85" s="6">
        <f>[1]BASE!BB629</f>
        <v>0</v>
      </c>
      <c r="X85" s="6">
        <f>[1]BASE!BC629</f>
        <v>0</v>
      </c>
      <c r="Y85" s="6">
        <f>[1]BASE!BD629</f>
        <v>466899.06</v>
      </c>
      <c r="Z85" s="6">
        <f>[1]BASE!BE629</f>
        <v>0</v>
      </c>
      <c r="AA85" s="6">
        <f>[1]BASE!BF629</f>
        <v>0</v>
      </c>
      <c r="AB85" s="6">
        <f>[1]BASE!BG629</f>
        <v>-6905.570000000007</v>
      </c>
      <c r="AC85" s="6">
        <f>[1]BASE!BH629</f>
        <v>0</v>
      </c>
      <c r="AD85" s="6">
        <f>[1]BASE!BI629</f>
        <v>0</v>
      </c>
      <c r="AE85" s="6">
        <f>[1]BASE!BJ629</f>
        <v>0</v>
      </c>
      <c r="AF85" s="6">
        <f>[1]BASE!BK629</f>
        <v>0</v>
      </c>
      <c r="AG85" s="6">
        <f>[1]BASE!BL629</f>
        <v>0</v>
      </c>
      <c r="AH85" s="6">
        <f>[1]BASE!BM629</f>
        <v>0</v>
      </c>
      <c r="AI85" s="6">
        <f>[1]BASE!BN629</f>
        <v>0</v>
      </c>
      <c r="AJ85" s="6">
        <f>[1]BASE!BO629</f>
        <v>0</v>
      </c>
      <c r="AK85" s="6">
        <f>[1]BASE!BP629</f>
        <v>0</v>
      </c>
      <c r="AL85" s="6">
        <f>[1]BASE!BQ629</f>
        <v>0</v>
      </c>
      <c r="AM85" s="6">
        <f>[1]BASE!BR629</f>
        <v>0</v>
      </c>
      <c r="AN85" s="6">
        <f>[1]BASE!BS629</f>
        <v>0</v>
      </c>
      <c r="AO85" s="6">
        <f>[1]BASE!BT629</f>
        <v>0</v>
      </c>
      <c r="AP85" s="6">
        <f>[1]BASE!BU629</f>
        <v>0</v>
      </c>
      <c r="AQ85" s="6">
        <f>[1]BASE!BV629</f>
        <v>0</v>
      </c>
      <c r="AR85" s="6">
        <f>[1]BASE!BW629</f>
        <v>0</v>
      </c>
      <c r="AS85" s="6">
        <f>[1]BASE!BX629</f>
        <v>0</v>
      </c>
      <c r="AT85" s="9">
        <f t="shared" si="5"/>
        <v>0</v>
      </c>
      <c r="AU85" s="9">
        <f t="shared" si="6"/>
        <v>459993.49</v>
      </c>
      <c r="AV85" s="9">
        <f t="shared" si="7"/>
        <v>0</v>
      </c>
    </row>
    <row r="86" spans="1:48" x14ac:dyDescent="0.35">
      <c r="A86" t="str">
        <f>[1]BASE!H638</f>
        <v>PETROLEO</v>
      </c>
      <c r="B86" t="str">
        <f>[1]BASE!I638</f>
        <v>YPF</v>
      </c>
      <c r="C86">
        <f>[1]BASE!J638</f>
        <v>0</v>
      </c>
      <c r="D86" t="str">
        <f>[1]BASE!K638</f>
        <v>EVENTUAL</v>
      </c>
      <c r="E86" t="str">
        <f>[1]BASE!L638</f>
        <v xml:space="preserve">YPF VMOS - Fijo </v>
      </c>
      <c r="F86" t="str">
        <f>[1]BASE!M638</f>
        <v>VENTAS</v>
      </c>
      <c r="G86" t="str">
        <f>[1]BASE!N638</f>
        <v>ARS</v>
      </c>
      <c r="H86" t="str">
        <f>[1]BASE!CL638</f>
        <v>NN</v>
      </c>
      <c r="J86" s="6">
        <f>[1]BASE!AO638</f>
        <v>0</v>
      </c>
      <c r="K86" s="6">
        <f>[1]BASE!AP638</f>
        <v>0</v>
      </c>
      <c r="L86" s="6">
        <f>[1]BASE!AQ638</f>
        <v>0</v>
      </c>
      <c r="M86" s="6">
        <f>[1]BASE!AR638</f>
        <v>0</v>
      </c>
      <c r="N86" s="6">
        <f>[1]BASE!AS638</f>
        <v>0</v>
      </c>
      <c r="O86" s="6">
        <f>[1]BASE!AT638</f>
        <v>0</v>
      </c>
      <c r="P86" s="6">
        <f>[1]BASE!AU638</f>
        <v>0</v>
      </c>
      <c r="Q86" s="6">
        <f>[1]BASE!AV638</f>
        <v>0</v>
      </c>
      <c r="R86" s="6">
        <f>[1]BASE!AW638</f>
        <v>0</v>
      </c>
      <c r="S86" s="6">
        <f>[1]BASE!AX638</f>
        <v>0</v>
      </c>
      <c r="T86" s="6">
        <f>[1]BASE!AY638</f>
        <v>0</v>
      </c>
      <c r="U86" s="6">
        <f>[1]BASE!AZ638</f>
        <v>0</v>
      </c>
      <c r="V86" s="6">
        <f>[1]BASE!BA638</f>
        <v>0</v>
      </c>
      <c r="W86" s="6">
        <f>[1]BASE!BB638</f>
        <v>75772768.140000001</v>
      </c>
      <c r="X86" s="6">
        <f>[1]BASE!BC638</f>
        <v>83847661.789999992</v>
      </c>
      <c r="Y86" s="6">
        <f>[1]BASE!BD638</f>
        <v>469803597.50999999</v>
      </c>
      <c r="Z86" s="6">
        <f>[1]BASE!BE638</f>
        <v>826645033.9000001</v>
      </c>
      <c r="AA86" s="6">
        <f>[1]BASE!BF638</f>
        <v>479986219.76000035</v>
      </c>
      <c r="AB86" s="6">
        <f>[1]BASE!BG638</f>
        <v>874572405.61000001</v>
      </c>
      <c r="AC86" s="6">
        <f>[1]BASE!BH638</f>
        <v>820082775.63999999</v>
      </c>
      <c r="AD86" s="6">
        <f>[1]BASE!BI638</f>
        <v>809843134.54000008</v>
      </c>
      <c r="AE86" s="6">
        <f>[1]BASE!BJ638</f>
        <v>36677952.180000067</v>
      </c>
      <c r="AF86" s="6">
        <f>[1]BASE!BK638</f>
        <v>30582563.073999971</v>
      </c>
      <c r="AG86" s="6">
        <f>[1]BASE!BL638</f>
        <v>39555087.83000011</v>
      </c>
      <c r="AH86" s="6">
        <f>[1]BASE!BM638</f>
        <v>8493992.8500000648</v>
      </c>
      <c r="AI86" s="6">
        <f>[1]BASE!BN638</f>
        <v>2685390.9700000547</v>
      </c>
      <c r="AJ86" s="6">
        <f>[1]BASE!BO638</f>
        <v>8735239.0809999928</v>
      </c>
      <c r="AK86" s="6">
        <f>[1]BASE!BP638</f>
        <v>5868996.839999998</v>
      </c>
      <c r="AL86" s="6">
        <f>[1]BASE!BQ638</f>
        <v>0</v>
      </c>
      <c r="AM86" s="6">
        <f>[1]BASE!BR638</f>
        <v>0</v>
      </c>
      <c r="AN86" s="6">
        <f>[1]BASE!BS638</f>
        <v>0</v>
      </c>
      <c r="AO86" s="6">
        <f>[1]BASE!BT638</f>
        <v>0</v>
      </c>
      <c r="AP86" s="6">
        <f>[1]BASE!BU638</f>
        <v>0</v>
      </c>
      <c r="AQ86" s="6">
        <f>[1]BASE!BV638</f>
        <v>0</v>
      </c>
      <c r="AR86" s="6">
        <f>[1]BASE!BW638</f>
        <v>0</v>
      </c>
      <c r="AS86" s="6">
        <f>[1]BASE!BX638</f>
        <v>0</v>
      </c>
      <c r="AT86" s="9">
        <f t="shared" si="5"/>
        <v>0</v>
      </c>
      <c r="AU86" s="9">
        <f t="shared" si="6"/>
        <v>4547369199.9740009</v>
      </c>
      <c r="AV86" s="9">
        <f t="shared" si="7"/>
        <v>25783619.741000108</v>
      </c>
    </row>
    <row r="87" spans="1:48" x14ac:dyDescent="0.35">
      <c r="A87" t="str">
        <f>[1]BASE!H647</f>
        <v>PETROLEO</v>
      </c>
      <c r="B87" t="str">
        <f>[1]BASE!I647</f>
        <v>QUINTANA E&amp;P</v>
      </c>
      <c r="C87">
        <f>[1]BASE!J647</f>
        <v>0</v>
      </c>
      <c r="D87" t="str">
        <f>[1]BASE!K647</f>
        <v>FIJO</v>
      </c>
      <c r="E87" t="str">
        <f>[1]BASE!L647</f>
        <v>EFO</v>
      </c>
      <c r="F87" t="str">
        <f>[1]BASE!M647</f>
        <v>VENTAS</v>
      </c>
      <c r="G87" t="str">
        <f>[1]BASE!N647</f>
        <v>ARS</v>
      </c>
      <c r="H87" t="str">
        <f>[1]BASE!CL647</f>
        <v xml:space="preserve">BAU </v>
      </c>
      <c r="J87" s="6">
        <f>[1]BASE!AO647</f>
        <v>0</v>
      </c>
      <c r="K87" s="6">
        <f>[1]BASE!AP647</f>
        <v>0</v>
      </c>
      <c r="L87" s="6">
        <f>[1]BASE!AQ647</f>
        <v>0</v>
      </c>
      <c r="M87" s="6">
        <f>[1]BASE!AR647</f>
        <v>0</v>
      </c>
      <c r="N87" s="6">
        <f>[1]BASE!AS647</f>
        <v>0</v>
      </c>
      <c r="O87" s="6">
        <f>[1]BASE!AT647</f>
        <v>0</v>
      </c>
      <c r="P87" s="6">
        <f>[1]BASE!AU647</f>
        <v>0</v>
      </c>
      <c r="Q87" s="6">
        <f>[1]BASE!AV647</f>
        <v>0</v>
      </c>
      <c r="R87" s="6">
        <f>[1]BASE!AW647</f>
        <v>0</v>
      </c>
      <c r="S87" s="6">
        <f>[1]BASE!AX647</f>
        <v>0</v>
      </c>
      <c r="T87" s="6">
        <f>[1]BASE!AY647</f>
        <v>0</v>
      </c>
      <c r="U87" s="6">
        <f>[1]BASE!AZ647</f>
        <v>0</v>
      </c>
      <c r="V87" s="6">
        <f>[1]BASE!BA647</f>
        <v>0</v>
      </c>
      <c r="W87" s="6">
        <f>[1]BASE!BB647</f>
        <v>50839455.219999999</v>
      </c>
      <c r="X87" s="6">
        <f>[1]BASE!BC647</f>
        <v>77966732.219999999</v>
      </c>
      <c r="Y87" s="6">
        <f>[1]BASE!BD647</f>
        <v>20271350.370000005</v>
      </c>
      <c r="Z87" s="6">
        <f>[1]BASE!BE647</f>
        <v>-159999.99999999627</v>
      </c>
      <c r="AA87" s="6">
        <f>[1]BASE!BF647</f>
        <v>0</v>
      </c>
      <c r="AB87" s="6">
        <f>[1]BASE!BG647</f>
        <v>153868406.56</v>
      </c>
      <c r="AC87" s="6">
        <f>[1]BASE!BH647</f>
        <v>125381077.33000001</v>
      </c>
      <c r="AD87" s="6">
        <f>[1]BASE!BI647</f>
        <v>69852</v>
      </c>
      <c r="AE87" s="6">
        <f>[1]BASE!BJ647</f>
        <v>-2709046.3999999985</v>
      </c>
      <c r="AF87" s="6">
        <f>[1]BASE!BK647</f>
        <v>-2148399.1099999994</v>
      </c>
      <c r="AG87" s="6">
        <f>[1]BASE!BL647</f>
        <v>0</v>
      </c>
      <c r="AH87" s="6">
        <f>[1]BASE!BM647</f>
        <v>0</v>
      </c>
      <c r="AI87" s="6">
        <f>[1]BASE!BN647</f>
        <v>0</v>
      </c>
      <c r="AJ87" s="6">
        <f>[1]BASE!BO647</f>
        <v>0</v>
      </c>
      <c r="AK87" s="6">
        <f>[1]BASE!BP647</f>
        <v>0</v>
      </c>
      <c r="AL87" s="6">
        <f>[1]BASE!BQ647</f>
        <v>0</v>
      </c>
      <c r="AM87" s="6">
        <f>[1]BASE!BR647</f>
        <v>0</v>
      </c>
      <c r="AN87" s="6">
        <f>[1]BASE!BS647</f>
        <v>0</v>
      </c>
      <c r="AO87" s="6">
        <f>[1]BASE!BT647</f>
        <v>0</v>
      </c>
      <c r="AP87" s="6">
        <f>[1]BASE!BU647</f>
        <v>0</v>
      </c>
      <c r="AQ87" s="6">
        <f>[1]BASE!BV647</f>
        <v>0</v>
      </c>
      <c r="AR87" s="6">
        <f>[1]BASE!BW647</f>
        <v>0</v>
      </c>
      <c r="AS87" s="6">
        <f>[1]BASE!BX647</f>
        <v>0</v>
      </c>
      <c r="AT87" s="9">
        <f t="shared" si="5"/>
        <v>0</v>
      </c>
      <c r="AU87" s="9">
        <f t="shared" si="6"/>
        <v>423379428.19000006</v>
      </c>
      <c r="AV87" s="9">
        <f t="shared" si="7"/>
        <v>0</v>
      </c>
    </row>
    <row r="88" spans="1:48" x14ac:dyDescent="0.35">
      <c r="A88" t="str">
        <f>[1]BASE!H656</f>
        <v>OTRAS OP DEDICADAS</v>
      </c>
      <c r="B88" t="str">
        <f>[1]BASE!I656</f>
        <v>GENNEIA</v>
      </c>
      <c r="C88">
        <f>[1]BASE!J656</f>
        <v>0</v>
      </c>
      <c r="D88" t="str">
        <f>[1]BASE!K656</f>
        <v>FIJO</v>
      </c>
      <c r="E88" t="str">
        <f>[1]BASE!L656</f>
        <v>Parque Solar San Juan Sur</v>
      </c>
      <c r="F88" t="str">
        <f>[1]BASE!M656</f>
        <v>VENTAS</v>
      </c>
      <c r="G88" t="str">
        <f>[1]BASE!N656</f>
        <v>ARS</v>
      </c>
      <c r="H88" t="str">
        <f>[1]BASE!CL656</f>
        <v xml:space="preserve">BAU </v>
      </c>
      <c r="J88" s="6">
        <f>[1]BASE!AO656</f>
        <v>0</v>
      </c>
      <c r="K88" s="6">
        <f>[1]BASE!AP656</f>
        <v>0</v>
      </c>
      <c r="L88" s="6">
        <f>[1]BASE!AQ656</f>
        <v>0</v>
      </c>
      <c r="M88" s="6">
        <f>[1]BASE!AR656</f>
        <v>0</v>
      </c>
      <c r="N88" s="6">
        <f>[1]BASE!AS656</f>
        <v>0</v>
      </c>
      <c r="O88" s="6">
        <f>[1]BASE!AT656</f>
        <v>0</v>
      </c>
      <c r="P88" s="6">
        <f>[1]BASE!AU656</f>
        <v>0</v>
      </c>
      <c r="Q88" s="6">
        <f>[1]BASE!AV656</f>
        <v>0</v>
      </c>
      <c r="R88" s="6">
        <f>[1]BASE!AW656</f>
        <v>0</v>
      </c>
      <c r="S88" s="6">
        <f>[1]BASE!AX656</f>
        <v>0</v>
      </c>
      <c r="T88" s="6">
        <f>[1]BASE!AY656</f>
        <v>0</v>
      </c>
      <c r="U88" s="6">
        <f>[1]BASE!AZ656</f>
        <v>0</v>
      </c>
      <c r="V88" s="6">
        <f>[1]BASE!BA656</f>
        <v>0</v>
      </c>
      <c r="W88" s="6">
        <f>[1]BASE!BB656</f>
        <v>0</v>
      </c>
      <c r="X88" s="6">
        <f>[1]BASE!BC656</f>
        <v>0</v>
      </c>
      <c r="Y88" s="6">
        <f>[1]BASE!BD656</f>
        <v>11432766</v>
      </c>
      <c r="Z88" s="6">
        <f>[1]BASE!BE656</f>
        <v>35732479.5</v>
      </c>
      <c r="AA88" s="6">
        <f>[1]BASE!BF656</f>
        <v>24655716</v>
      </c>
      <c r="AB88" s="6">
        <f>[1]BASE!BG656</f>
        <v>28968432</v>
      </c>
      <c r="AC88" s="6">
        <f>[1]BASE!BH656</f>
        <v>26753945</v>
      </c>
      <c r="AD88" s="6">
        <f>[1]BASE!BI656</f>
        <v>30216626.5</v>
      </c>
      <c r="AE88" s="6">
        <f>[1]BASE!BJ656</f>
        <v>14969972.76</v>
      </c>
      <c r="AF88" s="6">
        <f>[1]BASE!BK656</f>
        <v>0</v>
      </c>
      <c r="AG88" s="6">
        <f>[1]BASE!BL656</f>
        <v>-836673.50899999961</v>
      </c>
      <c r="AH88" s="6">
        <f>[1]BASE!BM656</f>
        <v>0</v>
      </c>
      <c r="AI88" s="6">
        <f>[1]BASE!BN656</f>
        <v>0</v>
      </c>
      <c r="AJ88" s="6">
        <f>[1]BASE!BO656</f>
        <v>0</v>
      </c>
      <c r="AK88" s="6">
        <f>[1]BASE!BP656</f>
        <v>0</v>
      </c>
      <c r="AL88" s="6">
        <f>[1]BASE!BQ656</f>
        <v>0</v>
      </c>
      <c r="AM88" s="6">
        <f>[1]BASE!BR656</f>
        <v>0</v>
      </c>
      <c r="AN88" s="6">
        <f>[1]BASE!BS656</f>
        <v>0</v>
      </c>
      <c r="AO88" s="6">
        <f>[1]BASE!BT656</f>
        <v>0</v>
      </c>
      <c r="AP88" s="6">
        <f>[1]BASE!BU656</f>
        <v>0</v>
      </c>
      <c r="AQ88" s="6">
        <f>[1]BASE!BV656</f>
        <v>0</v>
      </c>
      <c r="AR88" s="6">
        <f>[1]BASE!BW656</f>
        <v>0</v>
      </c>
      <c r="AS88" s="6">
        <f>[1]BASE!BX656</f>
        <v>0</v>
      </c>
      <c r="AT88" s="9">
        <f t="shared" si="5"/>
        <v>0</v>
      </c>
      <c r="AU88" s="9">
        <f t="shared" si="6"/>
        <v>171893264.25099999</v>
      </c>
      <c r="AV88" s="9">
        <f t="shared" si="7"/>
        <v>0</v>
      </c>
    </row>
    <row r="89" spans="1:48" x14ac:dyDescent="0.35">
      <c r="A89" t="str">
        <f>[1]BASE!H662</f>
        <v>PETROLEO</v>
      </c>
      <c r="B89" t="str">
        <f>[1]BASE!I662</f>
        <v xml:space="preserve">BENTIA </v>
      </c>
      <c r="C89">
        <f>[1]BASE!J662</f>
        <v>0</v>
      </c>
      <c r="D89" t="str">
        <f>[1]BASE!K662</f>
        <v>FIJO</v>
      </c>
      <c r="E89" t="str">
        <f>[1]BASE!L662</f>
        <v xml:space="preserve">US Fijas </v>
      </c>
      <c r="F89" t="str">
        <f>[1]BASE!M662</f>
        <v>VENTAS</v>
      </c>
      <c r="G89" t="str">
        <f>[1]BASE!N662</f>
        <v>ARS</v>
      </c>
      <c r="H89" t="str">
        <f>[1]BASE!CL662</f>
        <v xml:space="preserve">BAU </v>
      </c>
      <c r="J89" s="6">
        <f>[1]BASE!AO662</f>
        <v>0</v>
      </c>
      <c r="K89" s="6">
        <f>[1]BASE!AP662</f>
        <v>0</v>
      </c>
      <c r="L89" s="6">
        <f>[1]BASE!AQ662</f>
        <v>0</v>
      </c>
      <c r="M89" s="6">
        <f>[1]BASE!AR662</f>
        <v>0</v>
      </c>
      <c r="N89" s="6">
        <f>[1]BASE!AS662</f>
        <v>0</v>
      </c>
      <c r="O89" s="6">
        <f>[1]BASE!AT662</f>
        <v>0</v>
      </c>
      <c r="P89" s="6">
        <f>[1]BASE!AU662</f>
        <v>0</v>
      </c>
      <c r="Q89" s="6">
        <f>[1]BASE!AV662</f>
        <v>0</v>
      </c>
      <c r="R89" s="6">
        <f>[1]BASE!AW662</f>
        <v>0</v>
      </c>
      <c r="S89" s="6">
        <f>[1]BASE!AX662</f>
        <v>0</v>
      </c>
      <c r="T89" s="6">
        <f>[1]BASE!AY662</f>
        <v>0</v>
      </c>
      <c r="U89" s="6">
        <f>[1]BASE!AZ662</f>
        <v>0</v>
      </c>
      <c r="V89" s="6">
        <f>[1]BASE!BA662</f>
        <v>0</v>
      </c>
      <c r="W89" s="6">
        <f>[1]BASE!BB662</f>
        <v>0</v>
      </c>
      <c r="X89" s="6">
        <f>[1]BASE!BC662</f>
        <v>0</v>
      </c>
      <c r="Y89" s="6">
        <f>[1]BASE!BD662</f>
        <v>0</v>
      </c>
      <c r="Z89" s="6">
        <f>[1]BASE!BE662</f>
        <v>0</v>
      </c>
      <c r="AA89" s="6">
        <f>[1]BASE!BF662</f>
        <v>167729803</v>
      </c>
      <c r="AB89" s="6">
        <f>[1]BASE!BG662</f>
        <v>140808833.96000004</v>
      </c>
      <c r="AC89" s="6">
        <f>[1]BASE!BH662</f>
        <v>50940717.299999982</v>
      </c>
      <c r="AD89" s="6">
        <f>[1]BASE!BI662</f>
        <v>44714170.799999997</v>
      </c>
      <c r="AE89" s="6">
        <f>[1]BASE!BJ662</f>
        <v>49375405.969999999</v>
      </c>
      <c r="AF89" s="6">
        <f>[1]BASE!BK662</f>
        <v>45237673.25</v>
      </c>
      <c r="AG89" s="6">
        <f>[1]BASE!BL662</f>
        <v>25868773.32</v>
      </c>
      <c r="AH89" s="6">
        <f>[1]BASE!BM662</f>
        <v>17480252.280000001</v>
      </c>
      <c r="AI89" s="6">
        <f>[1]BASE!BN662</f>
        <v>-854838.70000000019</v>
      </c>
      <c r="AJ89" s="6">
        <f>[1]BASE!BO662</f>
        <v>0</v>
      </c>
      <c r="AK89" s="6">
        <f>[1]BASE!BP662</f>
        <v>0</v>
      </c>
      <c r="AL89" s="6">
        <f>[1]BASE!BQ662</f>
        <v>0</v>
      </c>
      <c r="AM89" s="6">
        <f>[1]BASE!BR662</f>
        <v>0</v>
      </c>
      <c r="AN89" s="6">
        <f>[1]BASE!BS662</f>
        <v>0</v>
      </c>
      <c r="AO89" s="6">
        <f>[1]BASE!BT662</f>
        <v>0</v>
      </c>
      <c r="AP89" s="6">
        <f>[1]BASE!BU662</f>
        <v>0</v>
      </c>
      <c r="AQ89" s="6">
        <f>[1]BASE!BV662</f>
        <v>0</v>
      </c>
      <c r="AR89" s="6">
        <f>[1]BASE!BW662</f>
        <v>0</v>
      </c>
      <c r="AS89" s="6">
        <f>[1]BASE!BX662</f>
        <v>0</v>
      </c>
      <c r="AT89" s="9">
        <f t="shared" si="5"/>
        <v>0</v>
      </c>
      <c r="AU89" s="9">
        <f t="shared" si="6"/>
        <v>524675377.59999996</v>
      </c>
      <c r="AV89" s="9">
        <f t="shared" si="7"/>
        <v>16625413.580000002</v>
      </c>
    </row>
    <row r="90" spans="1:48" x14ac:dyDescent="0.35">
      <c r="A90" t="str">
        <f>[1]BASE!H671</f>
        <v>PETROLEO</v>
      </c>
      <c r="B90" t="str">
        <f>[1]BASE!I671</f>
        <v>YPF</v>
      </c>
      <c r="C90">
        <f>[1]BASE!J671</f>
        <v>0</v>
      </c>
      <c r="D90" t="str">
        <f>[1]BASE!K671</f>
        <v>EVENTUAL</v>
      </c>
      <c r="E90" t="str">
        <f>[1]BASE!L671</f>
        <v>YPF VMOS - Eventual día</v>
      </c>
      <c r="F90" t="str">
        <f>[1]BASE!M671</f>
        <v>VENTAS</v>
      </c>
      <c r="G90" t="str">
        <f>[1]BASE!N671</f>
        <v>ARS</v>
      </c>
      <c r="H90" t="str">
        <f>[1]BASE!CL671</f>
        <v>NN</v>
      </c>
      <c r="J90" s="6">
        <f>[1]BASE!AO671</f>
        <v>0</v>
      </c>
      <c r="K90" s="6">
        <f>[1]BASE!AP671</f>
        <v>0</v>
      </c>
      <c r="L90" s="6">
        <f>[1]BASE!AQ671</f>
        <v>0</v>
      </c>
      <c r="M90" s="6">
        <f>[1]BASE!AR671</f>
        <v>0</v>
      </c>
      <c r="N90" s="6">
        <f>[1]BASE!AS671</f>
        <v>0</v>
      </c>
      <c r="O90" s="6">
        <f>[1]BASE!AT671</f>
        <v>0</v>
      </c>
      <c r="P90" s="6">
        <f>[1]BASE!AU671</f>
        <v>0</v>
      </c>
      <c r="Q90" s="6">
        <f>[1]BASE!AV671</f>
        <v>0</v>
      </c>
      <c r="R90" s="6">
        <f>[1]BASE!AW671</f>
        <v>0</v>
      </c>
      <c r="S90" s="6">
        <f>[1]BASE!AX671</f>
        <v>0</v>
      </c>
      <c r="T90" s="6">
        <f>[1]BASE!AY671</f>
        <v>0</v>
      </c>
      <c r="U90" s="6">
        <f>[1]BASE!AZ671</f>
        <v>0</v>
      </c>
      <c r="V90" s="6">
        <f>[1]BASE!BA671</f>
        <v>0</v>
      </c>
      <c r="W90" s="6">
        <f>[1]BASE!BB671</f>
        <v>0</v>
      </c>
      <c r="X90" s="6">
        <f>[1]BASE!BC671</f>
        <v>0</v>
      </c>
      <c r="Y90" s="6">
        <f>[1]BASE!BD671</f>
        <v>0</v>
      </c>
      <c r="Z90" s="6">
        <f>[1]BASE!BE671</f>
        <v>0</v>
      </c>
      <c r="AA90" s="6">
        <f>[1]BASE!BF671</f>
        <v>0</v>
      </c>
      <c r="AB90" s="6">
        <f>[1]BASE!BG671</f>
        <v>0</v>
      </c>
      <c r="AC90" s="6">
        <f>[1]BASE!BH671</f>
        <v>0</v>
      </c>
      <c r="AD90" s="6">
        <f>[1]BASE!BI671</f>
        <v>0</v>
      </c>
      <c r="AE90" s="6">
        <f>[1]BASE!BJ671</f>
        <v>0</v>
      </c>
      <c r="AF90" s="6">
        <f>[1]BASE!BK671</f>
        <v>0</v>
      </c>
      <c r="AG90" s="6">
        <f>[1]BASE!BL671</f>
        <v>0</v>
      </c>
      <c r="AH90" s="6">
        <f>[1]BASE!BM671</f>
        <v>0</v>
      </c>
      <c r="AI90" s="6">
        <f>[1]BASE!BN671</f>
        <v>0</v>
      </c>
      <c r="AJ90" s="6">
        <f>[1]BASE!BO671</f>
        <v>0</v>
      </c>
      <c r="AK90" s="6">
        <f>[1]BASE!BP671</f>
        <v>0</v>
      </c>
      <c r="AL90" s="6">
        <f>[1]BASE!BQ671</f>
        <v>0</v>
      </c>
      <c r="AM90" s="6">
        <f>[1]BASE!BR671</f>
        <v>0</v>
      </c>
      <c r="AN90" s="6">
        <f>[1]BASE!BS671</f>
        <v>0</v>
      </c>
      <c r="AO90" s="6">
        <f>[1]BASE!BT671</f>
        <v>0</v>
      </c>
      <c r="AP90" s="6">
        <f>[1]BASE!BU671</f>
        <v>0</v>
      </c>
      <c r="AQ90" s="6">
        <f>[1]BASE!BV671</f>
        <v>0</v>
      </c>
      <c r="AR90" s="6">
        <f>[1]BASE!BW671</f>
        <v>0</v>
      </c>
      <c r="AS90" s="6">
        <f>[1]BASE!BX671</f>
        <v>0</v>
      </c>
      <c r="AT90" s="9">
        <f t="shared" si="5"/>
        <v>0</v>
      </c>
      <c r="AU90" s="9">
        <f t="shared" si="6"/>
        <v>0</v>
      </c>
      <c r="AV90" s="9">
        <f t="shared" si="7"/>
        <v>0</v>
      </c>
    </row>
    <row r="91" spans="1:48" x14ac:dyDescent="0.35">
      <c r="A91" t="str">
        <f>[1]BASE!H680</f>
        <v>PETROLEO</v>
      </c>
      <c r="B91" t="str">
        <f>[1]BASE!I680</f>
        <v>YPF</v>
      </c>
      <c r="C91">
        <f>[1]BASE!J680</f>
        <v>0</v>
      </c>
      <c r="D91" t="str">
        <f>[1]BASE!K680</f>
        <v>EVENTUAL</v>
      </c>
      <c r="E91" t="str">
        <f>[1]BASE!L680</f>
        <v>YPF VMOS - Eventual noche</v>
      </c>
      <c r="F91" t="str">
        <f>[1]BASE!M680</f>
        <v>VENTAS</v>
      </c>
      <c r="G91" t="str">
        <f>[1]BASE!N680</f>
        <v>ARS</v>
      </c>
      <c r="H91" t="str">
        <f>[1]BASE!CL680</f>
        <v>NN</v>
      </c>
      <c r="J91" s="6">
        <f>[1]BASE!AO680</f>
        <v>0</v>
      </c>
      <c r="K91" s="6">
        <f>[1]BASE!AP680</f>
        <v>0</v>
      </c>
      <c r="L91" s="6">
        <f>[1]BASE!AQ680</f>
        <v>0</v>
      </c>
      <c r="M91" s="6">
        <f>[1]BASE!AR680</f>
        <v>0</v>
      </c>
      <c r="N91" s="6">
        <f>[1]BASE!AS680</f>
        <v>0</v>
      </c>
      <c r="O91" s="6">
        <f>[1]BASE!AT680</f>
        <v>0</v>
      </c>
      <c r="P91" s="6">
        <f>[1]BASE!AU680</f>
        <v>0</v>
      </c>
      <c r="Q91" s="6">
        <f>[1]BASE!AV680</f>
        <v>0</v>
      </c>
      <c r="R91" s="6">
        <f>[1]BASE!AW680</f>
        <v>0</v>
      </c>
      <c r="S91" s="6">
        <f>[1]BASE!AX680</f>
        <v>0</v>
      </c>
      <c r="T91" s="6">
        <f>[1]BASE!AY680</f>
        <v>0</v>
      </c>
      <c r="U91" s="6">
        <f>[1]BASE!AZ680</f>
        <v>0</v>
      </c>
      <c r="V91" s="6">
        <f>[1]BASE!BA680</f>
        <v>0</v>
      </c>
      <c r="W91" s="6">
        <f>[1]BASE!BB680</f>
        <v>0</v>
      </c>
      <c r="X91" s="6">
        <f>[1]BASE!BC680</f>
        <v>0</v>
      </c>
      <c r="Y91" s="6">
        <f>[1]BASE!BD680</f>
        <v>0</v>
      </c>
      <c r="Z91" s="6">
        <f>[1]BASE!BE680</f>
        <v>0</v>
      </c>
      <c r="AA91" s="6">
        <f>[1]BASE!BF680</f>
        <v>0</v>
      </c>
      <c r="AB91" s="6">
        <f>[1]BASE!BG680</f>
        <v>0</v>
      </c>
      <c r="AC91" s="6">
        <f>[1]BASE!BH680</f>
        <v>0</v>
      </c>
      <c r="AD91" s="6">
        <f>[1]BASE!BI680</f>
        <v>0</v>
      </c>
      <c r="AE91" s="6">
        <f>[1]BASE!BJ680</f>
        <v>0</v>
      </c>
      <c r="AF91" s="6">
        <f>[1]BASE!BK680</f>
        <v>0</v>
      </c>
      <c r="AG91" s="6">
        <f>[1]BASE!BL680</f>
        <v>0</v>
      </c>
      <c r="AH91" s="6">
        <f>[1]BASE!BM680</f>
        <v>0</v>
      </c>
      <c r="AI91" s="6">
        <f>[1]BASE!BN680</f>
        <v>0</v>
      </c>
      <c r="AJ91" s="6">
        <f>[1]BASE!BO680</f>
        <v>0</v>
      </c>
      <c r="AK91" s="6">
        <f>[1]BASE!BP680</f>
        <v>0</v>
      </c>
      <c r="AL91" s="6">
        <f>[1]BASE!BQ680</f>
        <v>0</v>
      </c>
      <c r="AM91" s="6">
        <f>[1]BASE!BR680</f>
        <v>0</v>
      </c>
      <c r="AN91" s="6">
        <f>[1]BASE!BS680</f>
        <v>0</v>
      </c>
      <c r="AO91" s="6">
        <f>[1]BASE!BT680</f>
        <v>0</v>
      </c>
      <c r="AP91" s="6">
        <f>[1]BASE!BU680</f>
        <v>0</v>
      </c>
      <c r="AQ91" s="6">
        <f>[1]BASE!BV680</f>
        <v>0</v>
      </c>
      <c r="AR91" s="6">
        <f>[1]BASE!BW680</f>
        <v>0</v>
      </c>
      <c r="AS91" s="6">
        <f>[1]BASE!BX680</f>
        <v>0</v>
      </c>
      <c r="AT91" s="9">
        <f t="shared" si="5"/>
        <v>0</v>
      </c>
      <c r="AU91" s="9">
        <f t="shared" si="6"/>
        <v>0</v>
      </c>
      <c r="AV91" s="9">
        <f t="shared" si="7"/>
        <v>0</v>
      </c>
    </row>
    <row r="92" spans="1:48" x14ac:dyDescent="0.35">
      <c r="A92" t="str">
        <f>[1]BASE!H689</f>
        <v>OTRAS OP DEDICADAS</v>
      </c>
      <c r="B92" t="str">
        <f>[1]BASE!I689</f>
        <v>TECMACO</v>
      </c>
      <c r="C92">
        <f>[1]BASE!J689</f>
        <v>0</v>
      </c>
      <c r="D92" t="str">
        <f>[1]BASE!K689</f>
        <v>EVENTUAL</v>
      </c>
      <c r="E92" t="str">
        <f>[1]BASE!L689</f>
        <v>TECMACO</v>
      </c>
      <c r="F92" t="str">
        <f>[1]BASE!M689</f>
        <v>VENTAS</v>
      </c>
      <c r="G92" t="str">
        <f>[1]BASE!N689</f>
        <v>ARS</v>
      </c>
      <c r="H92" t="str">
        <f>[1]BASE!CL689</f>
        <v>NN</v>
      </c>
      <c r="J92" s="6">
        <f>[1]BASE!AO689</f>
        <v>0</v>
      </c>
      <c r="K92" s="6">
        <f>[1]BASE!AP689</f>
        <v>0</v>
      </c>
      <c r="L92" s="6">
        <f>[1]BASE!AQ689</f>
        <v>0</v>
      </c>
      <c r="M92" s="6">
        <f>[1]BASE!AR689</f>
        <v>0</v>
      </c>
      <c r="N92" s="6">
        <f>[1]BASE!AS689</f>
        <v>0</v>
      </c>
      <c r="O92" s="6">
        <f>[1]BASE!AT689</f>
        <v>0</v>
      </c>
      <c r="P92" s="6">
        <f>[1]BASE!AU689</f>
        <v>0</v>
      </c>
      <c r="Q92" s="6">
        <f>[1]BASE!AV689</f>
        <v>0</v>
      </c>
      <c r="R92" s="6">
        <f>[1]BASE!AW689</f>
        <v>0</v>
      </c>
      <c r="S92" s="6">
        <f>[1]BASE!AX689</f>
        <v>0</v>
      </c>
      <c r="T92" s="6">
        <f>[1]BASE!AY689</f>
        <v>0</v>
      </c>
      <c r="U92" s="6">
        <f>[1]BASE!AZ689</f>
        <v>0</v>
      </c>
      <c r="V92" s="6">
        <f>[1]BASE!BA689</f>
        <v>0</v>
      </c>
      <c r="W92" s="6">
        <f>[1]BASE!BB689</f>
        <v>0</v>
      </c>
      <c r="X92" s="6">
        <f>[1]BASE!BC689</f>
        <v>0</v>
      </c>
      <c r="Y92" s="6">
        <f>[1]BASE!BD689</f>
        <v>2697278.46</v>
      </c>
      <c r="Z92" s="6">
        <f>[1]BASE!BE689</f>
        <v>13024825.789999999</v>
      </c>
      <c r="AA92" s="6">
        <f>[1]BASE!BF689</f>
        <v>11625702.171</v>
      </c>
      <c r="AB92" s="6">
        <f>[1]BASE!BG689</f>
        <v>2235711.959999999</v>
      </c>
      <c r="AC92" s="6">
        <f>[1]BASE!BH689</f>
        <v>-2235711.9590000007</v>
      </c>
      <c r="AD92" s="6">
        <f>[1]BASE!BI689</f>
        <v>16230688.01</v>
      </c>
      <c r="AE92" s="6">
        <f>[1]BASE!BJ689</f>
        <v>1.0000001639127731E-3</v>
      </c>
      <c r="AF92" s="6">
        <f>[1]BASE!BK689</f>
        <v>0</v>
      </c>
      <c r="AG92" s="6">
        <f>[1]BASE!BL689</f>
        <v>0</v>
      </c>
      <c r="AH92" s="6">
        <f>[1]BASE!BM689</f>
        <v>0</v>
      </c>
      <c r="AI92" s="6">
        <f>[1]BASE!BN689</f>
        <v>0</v>
      </c>
      <c r="AJ92" s="6">
        <f>[1]BASE!BO689</f>
        <v>0</v>
      </c>
      <c r="AK92" s="6">
        <f>[1]BASE!BP689</f>
        <v>0</v>
      </c>
      <c r="AL92" s="6">
        <f>[1]BASE!BQ689</f>
        <v>0</v>
      </c>
      <c r="AM92" s="6">
        <f>[1]BASE!BR689</f>
        <v>0</v>
      </c>
      <c r="AN92" s="6">
        <f>[1]BASE!BS689</f>
        <v>0</v>
      </c>
      <c r="AO92" s="6">
        <f>[1]BASE!BT689</f>
        <v>0</v>
      </c>
      <c r="AP92" s="6">
        <f>[1]BASE!BU689</f>
        <v>0</v>
      </c>
      <c r="AQ92" s="6">
        <f>[1]BASE!BV689</f>
        <v>0</v>
      </c>
      <c r="AR92" s="6">
        <f>[1]BASE!BW689</f>
        <v>0</v>
      </c>
      <c r="AS92" s="6">
        <f>[1]BASE!BX689</f>
        <v>0</v>
      </c>
      <c r="AT92" s="9">
        <f t="shared" si="5"/>
        <v>0</v>
      </c>
      <c r="AU92" s="9">
        <f t="shared" si="6"/>
        <v>43578494.432999998</v>
      </c>
      <c r="AV92" s="9">
        <f t="shared" si="7"/>
        <v>0</v>
      </c>
    </row>
    <row r="93" spans="1:48" x14ac:dyDescent="0.35">
      <c r="A93" t="str">
        <f>[1]BASE!H698</f>
        <v>PETROLEO</v>
      </c>
      <c r="B93" t="str">
        <f>[1]BASE!I698</f>
        <v>Vista OIL</v>
      </c>
      <c r="C93">
        <f>[1]BASE!J698</f>
        <v>0</v>
      </c>
      <c r="D93" t="str">
        <f>[1]BASE!K698</f>
        <v>EVENTUAL</v>
      </c>
      <c r="E93" t="str">
        <f>[1]BASE!L698</f>
        <v xml:space="preserve">EVENTUALES - Enfermero doble </v>
      </c>
      <c r="F93" t="str">
        <f>[1]BASE!M698</f>
        <v>VENTAS</v>
      </c>
      <c r="G93" t="str">
        <f>[1]BASE!N698</f>
        <v>ARS</v>
      </c>
      <c r="H93" t="str">
        <f>[1]BASE!CL698</f>
        <v xml:space="preserve">BAU </v>
      </c>
      <c r="J93" s="6">
        <f>[1]BASE!AO698</f>
        <v>0</v>
      </c>
      <c r="K93" s="6">
        <f>[1]BASE!AP698</f>
        <v>0</v>
      </c>
      <c r="L93" s="6">
        <f>[1]BASE!AQ698</f>
        <v>0</v>
      </c>
      <c r="M93" s="6">
        <f>[1]BASE!AR698</f>
        <v>0</v>
      </c>
      <c r="N93" s="6">
        <f>[1]BASE!AS698</f>
        <v>0</v>
      </c>
      <c r="O93" s="6">
        <f>[1]BASE!AT698</f>
        <v>0</v>
      </c>
      <c r="P93" s="6">
        <f>[1]BASE!AU698</f>
        <v>0</v>
      </c>
      <c r="Q93" s="6">
        <f>[1]BASE!AV698</f>
        <v>0</v>
      </c>
      <c r="R93" s="6">
        <f>[1]BASE!AW698</f>
        <v>0</v>
      </c>
      <c r="S93" s="6">
        <f>[1]BASE!AX698</f>
        <v>0</v>
      </c>
      <c r="T93" s="6">
        <f>[1]BASE!AY698</f>
        <v>0</v>
      </c>
      <c r="U93" s="6">
        <f>[1]BASE!AZ698</f>
        <v>0</v>
      </c>
      <c r="V93" s="6">
        <f>[1]BASE!BA698</f>
        <v>0</v>
      </c>
      <c r="W93" s="6">
        <f>[1]BASE!BB698</f>
        <v>0</v>
      </c>
      <c r="X93" s="6">
        <f>[1]BASE!BC698</f>
        <v>0</v>
      </c>
      <c r="Y93" s="6">
        <f>[1]BASE!BD698</f>
        <v>0</v>
      </c>
      <c r="Z93" s="6">
        <f>[1]BASE!BE698</f>
        <v>0</v>
      </c>
      <c r="AA93" s="6">
        <f>[1]BASE!BF698</f>
        <v>0</v>
      </c>
      <c r="AB93" s="6">
        <f>[1]BASE!BG698</f>
        <v>0</v>
      </c>
      <c r="AC93" s="6">
        <f>[1]BASE!BH698</f>
        <v>0</v>
      </c>
      <c r="AD93" s="6">
        <f>[1]BASE!BI698</f>
        <v>0</v>
      </c>
      <c r="AE93" s="6">
        <f>[1]BASE!BJ698</f>
        <v>0</v>
      </c>
      <c r="AF93" s="6">
        <f>[1]BASE!BK698</f>
        <v>0</v>
      </c>
      <c r="AG93" s="6">
        <f>[1]BASE!BL698</f>
        <v>0</v>
      </c>
      <c r="AH93" s="6">
        <f>[1]BASE!BM698</f>
        <v>0</v>
      </c>
      <c r="AI93" s="6">
        <f>[1]BASE!BN698</f>
        <v>0</v>
      </c>
      <c r="AJ93" s="6">
        <f>[1]BASE!BO698</f>
        <v>0</v>
      </c>
      <c r="AK93" s="6">
        <f>[1]BASE!BP698</f>
        <v>0</v>
      </c>
      <c r="AL93" s="6">
        <f>[1]BASE!BQ698</f>
        <v>0</v>
      </c>
      <c r="AM93" s="6">
        <f>[1]BASE!BR698</f>
        <v>0</v>
      </c>
      <c r="AN93" s="6">
        <f>[1]BASE!BS698</f>
        <v>0</v>
      </c>
      <c r="AO93" s="6">
        <f>[1]BASE!BT698</f>
        <v>0</v>
      </c>
      <c r="AP93" s="6">
        <f>[1]BASE!BU698</f>
        <v>0</v>
      </c>
      <c r="AQ93" s="6">
        <f>[1]BASE!BV698</f>
        <v>0</v>
      </c>
      <c r="AR93" s="6">
        <f>[1]BASE!BW698</f>
        <v>0</v>
      </c>
      <c r="AS93" s="6">
        <f>[1]BASE!BX698</f>
        <v>0</v>
      </c>
      <c r="AT93" s="9">
        <f t="shared" si="5"/>
        <v>0</v>
      </c>
      <c r="AU93" s="9">
        <f t="shared" si="6"/>
        <v>0</v>
      </c>
      <c r="AV93" s="9">
        <f t="shared" si="7"/>
        <v>0</v>
      </c>
    </row>
    <row r="94" spans="1:48" x14ac:dyDescent="0.35">
      <c r="A94" t="str">
        <f>[1]BASE!H707</f>
        <v>OTRAS OP DEDICADAS</v>
      </c>
      <c r="B94" t="str">
        <f>[1]BASE!I707</f>
        <v>GENNEIA</v>
      </c>
      <c r="C94">
        <f>[1]BASE!J707</f>
        <v>0</v>
      </c>
      <c r="D94" t="str">
        <f>[1]BASE!K707</f>
        <v>FIJO</v>
      </c>
      <c r="E94" t="str">
        <f>[1]BASE!L707</f>
        <v>Parque Solar Ullúm</v>
      </c>
      <c r="F94" t="str">
        <f>[1]BASE!M707</f>
        <v>VENTAS</v>
      </c>
      <c r="G94" t="str">
        <f>[1]BASE!N707</f>
        <v>ARS</v>
      </c>
      <c r="H94" t="str">
        <f>[1]BASE!CL707</f>
        <v xml:space="preserve">BAU </v>
      </c>
      <c r="J94" s="6">
        <f>[1]BASE!AO707</f>
        <v>0</v>
      </c>
      <c r="K94" s="6">
        <f>[1]BASE!AP707</f>
        <v>0</v>
      </c>
      <c r="L94" s="6">
        <f>[1]BASE!AQ707</f>
        <v>0</v>
      </c>
      <c r="M94" s="6">
        <f>[1]BASE!AR707</f>
        <v>0</v>
      </c>
      <c r="N94" s="6">
        <f>[1]BASE!AS707</f>
        <v>0</v>
      </c>
      <c r="O94" s="6">
        <f>[1]BASE!AT707</f>
        <v>0</v>
      </c>
      <c r="P94" s="6">
        <f>[1]BASE!AU707</f>
        <v>0</v>
      </c>
      <c r="Q94" s="6">
        <f>[1]BASE!AV707</f>
        <v>0</v>
      </c>
      <c r="R94" s="6">
        <f>[1]BASE!AW707</f>
        <v>0</v>
      </c>
      <c r="S94" s="6">
        <f>[1]BASE!AX707</f>
        <v>0</v>
      </c>
      <c r="T94" s="6">
        <f>[1]BASE!AY707</f>
        <v>0</v>
      </c>
      <c r="U94" s="6">
        <f>[1]BASE!AZ707</f>
        <v>0</v>
      </c>
      <c r="V94" s="6">
        <f>[1]BASE!BA707</f>
        <v>0</v>
      </c>
      <c r="W94" s="6">
        <f>[1]BASE!BB707</f>
        <v>0</v>
      </c>
      <c r="X94" s="6">
        <f>[1]BASE!BC707</f>
        <v>0</v>
      </c>
      <c r="Y94" s="6">
        <f>[1]BASE!BD707</f>
        <v>3506280.53</v>
      </c>
      <c r="Z94" s="6">
        <f>[1]BASE!BE707</f>
        <v>23615532.469999999</v>
      </c>
      <c r="AA94" s="6">
        <f>[1]BASE!BF707</f>
        <v>14177976</v>
      </c>
      <c r="AB94" s="6">
        <f>[1]BASE!BG707</f>
        <v>16657952</v>
      </c>
      <c r="AC94" s="6">
        <f>[1]BASE!BH707</f>
        <v>15179625.42</v>
      </c>
      <c r="AD94" s="6">
        <f>[1]BASE!BI707</f>
        <v>-11352034.93</v>
      </c>
      <c r="AE94" s="6">
        <f>[1]BASE!BJ707</f>
        <v>0</v>
      </c>
      <c r="AF94" s="6">
        <f>[1]BASE!BK707</f>
        <v>0</v>
      </c>
      <c r="AG94" s="6">
        <f>[1]BASE!BL707</f>
        <v>0</v>
      </c>
      <c r="AH94" s="6">
        <f>[1]BASE!BM707</f>
        <v>0</v>
      </c>
      <c r="AI94" s="6">
        <f>[1]BASE!BN707</f>
        <v>0</v>
      </c>
      <c r="AJ94" s="6">
        <f>[1]BASE!BO707</f>
        <v>0</v>
      </c>
      <c r="AK94" s="6">
        <f>[1]BASE!BP707</f>
        <v>0</v>
      </c>
      <c r="AL94" s="6">
        <f>[1]BASE!BQ707</f>
        <v>0</v>
      </c>
      <c r="AM94" s="6">
        <f>[1]BASE!BR707</f>
        <v>0</v>
      </c>
      <c r="AN94" s="6">
        <f>[1]BASE!BS707</f>
        <v>0</v>
      </c>
      <c r="AO94" s="6">
        <f>[1]BASE!BT707</f>
        <v>0</v>
      </c>
      <c r="AP94" s="6">
        <f>[1]BASE!BU707</f>
        <v>0</v>
      </c>
      <c r="AQ94" s="6">
        <f>[1]BASE!BV707</f>
        <v>0</v>
      </c>
      <c r="AR94" s="6">
        <f>[1]BASE!BW707</f>
        <v>0</v>
      </c>
      <c r="AS94" s="6">
        <f>[1]BASE!BX707</f>
        <v>0</v>
      </c>
      <c r="AT94" s="9">
        <f t="shared" si="5"/>
        <v>0</v>
      </c>
      <c r="AU94" s="9">
        <f t="shared" si="6"/>
        <v>61785331.490000002</v>
      </c>
      <c r="AV94" s="9">
        <f t="shared" si="7"/>
        <v>0</v>
      </c>
    </row>
    <row r="95" spans="1:48" x14ac:dyDescent="0.35">
      <c r="A95" t="str">
        <f>[1]BASE!H713</f>
        <v>PETROLEO</v>
      </c>
      <c r="B95" t="str">
        <f>[1]BASE!I713</f>
        <v>Techint</v>
      </c>
      <c r="C95">
        <f>[1]BASE!J713</f>
        <v>0</v>
      </c>
      <c r="D95" t="str">
        <f>[1]BASE!K713</f>
        <v>FIJO</v>
      </c>
      <c r="E95" t="str">
        <f>[1]BASE!L713</f>
        <v xml:space="preserve">Gasoducto Duplicar Norte </v>
      </c>
      <c r="F95" t="str">
        <f>[1]BASE!M713</f>
        <v>VENTAS</v>
      </c>
      <c r="G95" t="str">
        <f>[1]BASE!N713</f>
        <v>ARS</v>
      </c>
      <c r="H95" t="str">
        <f>[1]BASE!CL713</f>
        <v>BAU bis</v>
      </c>
      <c r="J95" s="6">
        <f>[1]BASE!AO713</f>
        <v>0</v>
      </c>
      <c r="K95" s="6">
        <f>[1]BASE!AP713</f>
        <v>0</v>
      </c>
      <c r="L95" s="6">
        <f>[1]BASE!AQ713</f>
        <v>0</v>
      </c>
      <c r="M95" s="6">
        <f>[1]BASE!AR713</f>
        <v>0</v>
      </c>
      <c r="N95" s="6">
        <f>[1]BASE!AS713</f>
        <v>0</v>
      </c>
      <c r="O95" s="6">
        <f>[1]BASE!AT713</f>
        <v>0</v>
      </c>
      <c r="P95" s="6">
        <f>[1]BASE!AU713</f>
        <v>0</v>
      </c>
      <c r="Q95" s="6">
        <f>[1]BASE!AV713</f>
        <v>0</v>
      </c>
      <c r="R95" s="6">
        <f>[1]BASE!AW713</f>
        <v>0</v>
      </c>
      <c r="S95" s="6">
        <f>[1]BASE!AX713</f>
        <v>0</v>
      </c>
      <c r="T95" s="6">
        <f>[1]BASE!AY713</f>
        <v>0</v>
      </c>
      <c r="U95" s="6">
        <f>[1]BASE!AZ713</f>
        <v>0</v>
      </c>
      <c r="V95" s="6">
        <f>[1]BASE!BA713</f>
        <v>0</v>
      </c>
      <c r="W95" s="6">
        <f>[1]BASE!BB713</f>
        <v>0</v>
      </c>
      <c r="X95" s="6">
        <f>[1]BASE!BC713</f>
        <v>0</v>
      </c>
      <c r="Y95" s="6">
        <f>[1]BASE!BD713</f>
        <v>0</v>
      </c>
      <c r="Z95" s="6">
        <f>[1]BASE!BE713</f>
        <v>0</v>
      </c>
      <c r="AA95" s="6">
        <f>[1]BASE!BF713</f>
        <v>0</v>
      </c>
      <c r="AB95" s="6">
        <f>[1]BASE!BG713</f>
        <v>0</v>
      </c>
      <c r="AC95" s="6">
        <f>[1]BASE!BH713</f>
        <v>0</v>
      </c>
      <c r="AD95" s="6">
        <f>[1]BASE!BI713</f>
        <v>0</v>
      </c>
      <c r="AE95" s="6">
        <f>[1]BASE!BJ713</f>
        <v>0</v>
      </c>
      <c r="AF95" s="6">
        <f>[1]BASE!BK713</f>
        <v>0</v>
      </c>
      <c r="AG95" s="6">
        <f>[1]BASE!BL713</f>
        <v>0</v>
      </c>
      <c r="AH95" s="6">
        <f>[1]BASE!BM713</f>
        <v>0</v>
      </c>
      <c r="AI95" s="6">
        <f>[1]BASE!BN713</f>
        <v>0</v>
      </c>
      <c r="AJ95" s="6">
        <f>[1]BASE!BO713</f>
        <v>0</v>
      </c>
      <c r="AK95" s="6">
        <f>[1]BASE!BP713</f>
        <v>0</v>
      </c>
      <c r="AL95" s="6">
        <f>[1]BASE!BQ713</f>
        <v>41863460</v>
      </c>
      <c r="AM95" s="6">
        <f>[1]BASE!BR713</f>
        <v>62795190</v>
      </c>
      <c r="AN95" s="6">
        <f>[1]BASE!BS713</f>
        <v>64305681.936289184</v>
      </c>
      <c r="AO95" s="6">
        <f>[1]BASE!BT713</f>
        <v>65899230.986835554</v>
      </c>
      <c r="AP95" s="6">
        <f>[1]BASE!BU713</f>
        <v>67387258.834808052</v>
      </c>
      <c r="AQ95" s="6">
        <f>[1]BASE!BV713</f>
        <v>68756724.071637303</v>
      </c>
      <c r="AR95" s="6">
        <f>[1]BASE!BW713</f>
        <v>70014290.420799404</v>
      </c>
      <c r="AS95" s="6">
        <f>[1]BASE!BX713</f>
        <v>71201725.595231637</v>
      </c>
      <c r="AT95" s="9">
        <f t="shared" si="5"/>
        <v>0</v>
      </c>
      <c r="AU95" s="9">
        <f t="shared" si="6"/>
        <v>0</v>
      </c>
      <c r="AV95" s="9">
        <f t="shared" si="7"/>
        <v>512223561.84560108</v>
      </c>
    </row>
    <row r="96" spans="1:48" x14ac:dyDescent="0.35">
      <c r="A96" t="str">
        <f>[1]BASE!H722</f>
        <v>OTRAS OP DEDICADAS</v>
      </c>
      <c r="B96" t="str">
        <f>[1]BASE!I722</f>
        <v>GENNEIA</v>
      </c>
      <c r="C96">
        <f>[1]BASE!J722</f>
        <v>0</v>
      </c>
      <c r="D96" t="str">
        <f>[1]BASE!K722</f>
        <v>FIJO</v>
      </c>
      <c r="E96" t="str">
        <f>[1]BASE!L722</f>
        <v>Parque Solar Junin</v>
      </c>
      <c r="F96" t="str">
        <f>[1]BASE!M722</f>
        <v>VENTAS</v>
      </c>
      <c r="G96" t="str">
        <f>[1]BASE!N722</f>
        <v>ARS</v>
      </c>
      <c r="H96" t="str">
        <f>[1]BASE!CL722</f>
        <v xml:space="preserve">BAU </v>
      </c>
      <c r="J96" s="6">
        <f>[1]BASE!AO722</f>
        <v>0</v>
      </c>
      <c r="K96" s="6">
        <f>[1]BASE!AP722</f>
        <v>0</v>
      </c>
      <c r="L96" s="6">
        <f>[1]BASE!AQ722</f>
        <v>0</v>
      </c>
      <c r="M96" s="6">
        <f>[1]BASE!AR722</f>
        <v>0</v>
      </c>
      <c r="N96" s="6">
        <f>[1]BASE!AS722</f>
        <v>0</v>
      </c>
      <c r="O96" s="6">
        <f>[1]BASE!AT722</f>
        <v>0</v>
      </c>
      <c r="P96" s="6">
        <f>[1]BASE!AU722</f>
        <v>0</v>
      </c>
      <c r="Q96" s="6">
        <f>[1]BASE!AV722</f>
        <v>0</v>
      </c>
      <c r="R96" s="6">
        <f>[1]BASE!AW722</f>
        <v>0</v>
      </c>
      <c r="S96" s="6">
        <f>[1]BASE!AX722</f>
        <v>0</v>
      </c>
      <c r="T96" s="6">
        <f>[1]BASE!AY722</f>
        <v>0</v>
      </c>
      <c r="U96" s="6">
        <f>[1]BASE!AZ722</f>
        <v>0</v>
      </c>
      <c r="V96" s="6">
        <f>[1]BASE!BA722</f>
        <v>0</v>
      </c>
      <c r="W96" s="6">
        <f>[1]BASE!BB722</f>
        <v>0</v>
      </c>
      <c r="X96" s="6">
        <f>[1]BASE!BC722</f>
        <v>0</v>
      </c>
      <c r="Y96" s="6">
        <f>[1]BASE!BD722</f>
        <v>0</v>
      </c>
      <c r="Z96" s="6">
        <f>[1]BASE!BE722</f>
        <v>0</v>
      </c>
      <c r="AA96" s="6">
        <f>[1]BASE!BF722</f>
        <v>0</v>
      </c>
      <c r="AB96" s="6">
        <f>[1]BASE!BG722</f>
        <v>0</v>
      </c>
      <c r="AC96" s="6">
        <f>[1]BASE!BH722</f>
        <v>0</v>
      </c>
      <c r="AD96" s="6">
        <f>[1]BASE!BI722</f>
        <v>0</v>
      </c>
      <c r="AE96" s="6">
        <f>[1]BASE!BJ722</f>
        <v>0</v>
      </c>
      <c r="AF96" s="6">
        <f>[1]BASE!BK722</f>
        <v>18146909.5</v>
      </c>
      <c r="AG96" s="6">
        <f>[1]BASE!BL722</f>
        <v>26617321.690000001</v>
      </c>
      <c r="AH96" s="6">
        <f>[1]BASE!BM722</f>
        <v>25825848.524999999</v>
      </c>
      <c r="AI96" s="6">
        <f>[1]BASE!BN722</f>
        <v>24566916.599999998</v>
      </c>
      <c r="AJ96" s="6">
        <f>[1]BASE!BO722</f>
        <v>25144920.18</v>
      </c>
      <c r="AK96" s="6">
        <f>[1]BASE!BP722</f>
        <v>23757870.060000002</v>
      </c>
      <c r="AL96" s="6">
        <f>[1]BASE!BQ722</f>
        <v>27097559.675445665</v>
      </c>
      <c r="AM96" s="6">
        <f>[1]BASE!BR722</f>
        <v>27395632.831875563</v>
      </c>
      <c r="AN96" s="6">
        <f>[1]BASE!BS722</f>
        <v>27696984.793026194</v>
      </c>
      <c r="AO96" s="6">
        <f>[1]BASE!BT722</f>
        <v>0</v>
      </c>
      <c r="AP96" s="6">
        <f>[1]BASE!BU722</f>
        <v>0</v>
      </c>
      <c r="AQ96" s="6">
        <f>[1]BASE!BV722</f>
        <v>0</v>
      </c>
      <c r="AR96" s="6">
        <f>[1]BASE!BW722</f>
        <v>0</v>
      </c>
      <c r="AS96" s="6">
        <f>[1]BASE!BX722</f>
        <v>0</v>
      </c>
      <c r="AT96" s="9">
        <f t="shared" si="5"/>
        <v>0</v>
      </c>
      <c r="AU96" s="9">
        <f t="shared" si="6"/>
        <v>44764231.189999998</v>
      </c>
      <c r="AV96" s="9">
        <f t="shared" si="7"/>
        <v>181485732.66534746</v>
      </c>
    </row>
    <row r="97" spans="1:48" x14ac:dyDescent="0.35">
      <c r="A97" t="str">
        <f>[1]BASE!H728</f>
        <v>OTRAS OP DEDICADAS</v>
      </c>
      <c r="B97" t="str">
        <f>[1]BASE!I728</f>
        <v>GENNEIA</v>
      </c>
      <c r="C97">
        <f>[1]BASE!J728</f>
        <v>0</v>
      </c>
      <c r="D97" t="str">
        <f>[1]BASE!K728</f>
        <v>FIJO</v>
      </c>
      <c r="E97" t="str">
        <f>[1]BASE!L728</f>
        <v>Parque Solar Lincoln</v>
      </c>
      <c r="F97" t="str">
        <f>[1]BASE!M728</f>
        <v>VENTAS</v>
      </c>
      <c r="G97" t="str">
        <f>[1]BASE!N728</f>
        <v>ARS</v>
      </c>
      <c r="H97" t="str">
        <f>[1]BASE!CL728</f>
        <v xml:space="preserve">BAU </v>
      </c>
      <c r="J97" s="6">
        <f>[1]BASE!AO728</f>
        <v>0</v>
      </c>
      <c r="K97" s="6">
        <f>[1]BASE!AP728</f>
        <v>0</v>
      </c>
      <c r="L97" s="6">
        <f>[1]BASE!AQ728</f>
        <v>0</v>
      </c>
      <c r="M97" s="6">
        <f>[1]BASE!AR728</f>
        <v>0</v>
      </c>
      <c r="N97" s="6">
        <f>[1]BASE!AS728</f>
        <v>0</v>
      </c>
      <c r="O97" s="6">
        <f>[1]BASE!AT728</f>
        <v>0</v>
      </c>
      <c r="P97" s="6">
        <f>[1]BASE!AU728</f>
        <v>0</v>
      </c>
      <c r="Q97" s="6">
        <f>[1]BASE!AV728</f>
        <v>0</v>
      </c>
      <c r="R97" s="6">
        <f>[1]BASE!AW728</f>
        <v>0</v>
      </c>
      <c r="S97" s="6">
        <f>[1]BASE!AX728</f>
        <v>0</v>
      </c>
      <c r="T97" s="6">
        <f>[1]BASE!AY728</f>
        <v>0</v>
      </c>
      <c r="U97" s="6">
        <f>[1]BASE!AZ728</f>
        <v>0</v>
      </c>
      <c r="V97" s="6">
        <f>[1]BASE!BA728</f>
        <v>0</v>
      </c>
      <c r="W97" s="6">
        <f>[1]BASE!BB728</f>
        <v>0</v>
      </c>
      <c r="X97" s="6">
        <f>[1]BASE!BC728</f>
        <v>0</v>
      </c>
      <c r="Y97" s="6">
        <f>[1]BASE!BD728</f>
        <v>0</v>
      </c>
      <c r="Z97" s="6">
        <f>[1]BASE!BE728</f>
        <v>0</v>
      </c>
      <c r="AA97" s="6">
        <f>[1]BASE!BF728</f>
        <v>0</v>
      </c>
      <c r="AB97" s="6">
        <f>[1]BASE!BG728</f>
        <v>0</v>
      </c>
      <c r="AC97" s="6">
        <f>[1]BASE!BH728</f>
        <v>0</v>
      </c>
      <c r="AD97" s="6">
        <f>[1]BASE!BI728</f>
        <v>0</v>
      </c>
      <c r="AE97" s="6">
        <f>[1]BASE!BJ728</f>
        <v>6856118.9000000004</v>
      </c>
      <c r="AF97" s="6">
        <f>[1]BASE!BK728</f>
        <v>16604896.065000001</v>
      </c>
      <c r="AG97" s="6">
        <f>[1]BASE!BL728</f>
        <v>16382172.609999999</v>
      </c>
      <c r="AH97" s="6">
        <f>[1]BASE!BM728</f>
        <v>16113081.9</v>
      </c>
      <c r="AI97" s="6">
        <f>[1]BASE!BN728</f>
        <v>15685798.5</v>
      </c>
      <c r="AJ97" s="6">
        <f>[1]BASE!BO728</f>
        <v>15915029.91</v>
      </c>
      <c r="AK97" s="6">
        <f>[1]BASE!BP728</f>
        <v>16209583.119999999</v>
      </c>
      <c r="AL97" s="6">
        <f>[1]BASE!BQ728</f>
        <v>17540915.278922919</v>
      </c>
      <c r="AM97" s="6">
        <f>[1]BASE!BR728</f>
        <v>17733865.34699107</v>
      </c>
      <c r="AN97" s="6">
        <f>[1]BASE!BS728</f>
        <v>0</v>
      </c>
      <c r="AO97" s="6">
        <f>[1]BASE!BT728</f>
        <v>0</v>
      </c>
      <c r="AP97" s="6">
        <f>[1]BASE!BU728</f>
        <v>0</v>
      </c>
      <c r="AQ97" s="6">
        <f>[1]BASE!BV728</f>
        <v>0</v>
      </c>
      <c r="AR97" s="6">
        <f>[1]BASE!BW728</f>
        <v>0</v>
      </c>
      <c r="AS97" s="6">
        <f>[1]BASE!BX728</f>
        <v>0</v>
      </c>
      <c r="AT97" s="9">
        <f t="shared" si="5"/>
        <v>0</v>
      </c>
      <c r="AU97" s="9">
        <f t="shared" si="6"/>
        <v>39843187.575000003</v>
      </c>
      <c r="AV97" s="9">
        <f t="shared" si="7"/>
        <v>99198274.055913985</v>
      </c>
    </row>
    <row r="98" spans="1:48" x14ac:dyDescent="0.35">
      <c r="A98" t="str">
        <f>[1]BASE!H734</f>
        <v>OTRAS OP DEDICADAS</v>
      </c>
      <c r="B98" t="str">
        <f>[1]BASE!I734</f>
        <v>Fortescue</v>
      </c>
      <c r="C98">
        <f>[1]BASE!J734</f>
        <v>0</v>
      </c>
      <c r="D98" t="str">
        <f>[1]BASE!K734</f>
        <v>FIJO</v>
      </c>
      <c r="E98" t="str">
        <f>[1]BASE!L734</f>
        <v>Proyecto Nacimiento/Vanesa</v>
      </c>
      <c r="F98" t="str">
        <f>[1]BASE!M734</f>
        <v>VENTAS</v>
      </c>
      <c r="G98" t="str">
        <f>[1]BASE!N734</f>
        <v>ARS</v>
      </c>
      <c r="H98" t="str">
        <f>[1]BASE!CL734</f>
        <v>NN</v>
      </c>
      <c r="J98" s="6">
        <f>[1]BASE!AO734</f>
        <v>0</v>
      </c>
      <c r="K98" s="6">
        <f>[1]BASE!AP734</f>
        <v>0</v>
      </c>
      <c r="L98" s="6">
        <f>[1]BASE!AQ734</f>
        <v>0</v>
      </c>
      <c r="M98" s="6">
        <f>[1]BASE!AR734</f>
        <v>0</v>
      </c>
      <c r="N98" s="6">
        <f>[1]BASE!AS734</f>
        <v>0</v>
      </c>
      <c r="O98" s="6">
        <f>[1]BASE!AT734</f>
        <v>0</v>
      </c>
      <c r="P98" s="6">
        <f>[1]BASE!AU734</f>
        <v>0</v>
      </c>
      <c r="Q98" s="6">
        <f>[1]BASE!AV734</f>
        <v>0</v>
      </c>
      <c r="R98" s="6">
        <f>[1]BASE!AW734</f>
        <v>0</v>
      </c>
      <c r="S98" s="6">
        <f>[1]BASE!AX734</f>
        <v>0</v>
      </c>
      <c r="T98" s="6">
        <f>[1]BASE!AY734</f>
        <v>0</v>
      </c>
      <c r="U98" s="6">
        <f>[1]BASE!AZ734</f>
        <v>0</v>
      </c>
      <c r="V98" s="6">
        <f>[1]BASE!BA734</f>
        <v>0</v>
      </c>
      <c r="W98" s="6">
        <f>[1]BASE!BB734</f>
        <v>0</v>
      </c>
      <c r="X98" s="6">
        <f>[1]BASE!BC734</f>
        <v>0</v>
      </c>
      <c r="Y98" s="6">
        <f>[1]BASE!BD734</f>
        <v>0</v>
      </c>
      <c r="Z98" s="6">
        <f>[1]BASE!BE734</f>
        <v>0</v>
      </c>
      <c r="AA98" s="6">
        <f>[1]BASE!BF734</f>
        <v>0</v>
      </c>
      <c r="AB98" s="6">
        <f>[1]BASE!BG734</f>
        <v>0</v>
      </c>
      <c r="AC98" s="6">
        <f>[1]BASE!BH734</f>
        <v>0</v>
      </c>
      <c r="AD98" s="6">
        <f>[1]BASE!BI734</f>
        <v>0</v>
      </c>
      <c r="AE98" s="6">
        <f>[1]BASE!BJ734</f>
        <v>0</v>
      </c>
      <c r="AF98" s="6">
        <f>[1]BASE!BK734</f>
        <v>0</v>
      </c>
      <c r="AG98" s="6">
        <f>[1]BASE!BL734</f>
        <v>0</v>
      </c>
      <c r="AH98" s="6">
        <f>[1]BASE!BM734</f>
        <v>0</v>
      </c>
      <c r="AI98" s="6">
        <f>[1]BASE!BN734</f>
        <v>0</v>
      </c>
      <c r="AJ98" s="6">
        <f>[1]BASE!BO734</f>
        <v>0</v>
      </c>
      <c r="AK98" s="6">
        <f>[1]BASE!BP734</f>
        <v>0</v>
      </c>
      <c r="AL98" s="6">
        <f>[1]BASE!BQ734</f>
        <v>0</v>
      </c>
      <c r="AM98" s="6">
        <f>[1]BASE!BR734</f>
        <v>0</v>
      </c>
      <c r="AN98" s="6">
        <f>[1]BASE!BS734</f>
        <v>0</v>
      </c>
      <c r="AO98" s="6">
        <f>[1]BASE!BT734</f>
        <v>0</v>
      </c>
      <c r="AP98" s="6">
        <f>[1]BASE!BU734</f>
        <v>0</v>
      </c>
      <c r="AQ98" s="6">
        <f>[1]BASE!BV734</f>
        <v>32833584.77915442</v>
      </c>
      <c r="AR98" s="6">
        <f>[1]BASE!BW734</f>
        <v>33431080.870835707</v>
      </c>
      <c r="AS98" s="6">
        <f>[1]BASE!BX734</f>
        <v>34003627.27164948</v>
      </c>
      <c r="AT98" s="9">
        <f t="shared" si="5"/>
        <v>0</v>
      </c>
      <c r="AU98" s="9">
        <f t="shared" si="6"/>
        <v>0</v>
      </c>
      <c r="AV98" s="9">
        <f t="shared" si="7"/>
        <v>100268292.92163961</v>
      </c>
    </row>
    <row r="99" spans="1:48" x14ac:dyDescent="0.35">
      <c r="A99" t="str">
        <f>[1]BASE!H743</f>
        <v>MINERIA</v>
      </c>
      <c r="B99" t="str">
        <f>[1]BASE!I743</f>
        <v>First Quantum</v>
      </c>
      <c r="C99">
        <f>[1]BASE!J743</f>
        <v>0</v>
      </c>
      <c r="D99" t="str">
        <f>[1]BASE!K743</f>
        <v>FIJO</v>
      </c>
      <c r="E99" t="str">
        <f>[1]BASE!L743</f>
        <v>Vendaval</v>
      </c>
      <c r="F99" t="str">
        <f>[1]BASE!M743</f>
        <v>VENTAS</v>
      </c>
      <c r="G99" t="str">
        <f>[1]BASE!N743</f>
        <v>ARS</v>
      </c>
      <c r="H99" t="str">
        <f>[1]BASE!CL743</f>
        <v>NN</v>
      </c>
      <c r="J99" s="6">
        <f>[1]BASE!AO743</f>
        <v>0</v>
      </c>
      <c r="K99" s="6">
        <f>[1]BASE!AP743</f>
        <v>0</v>
      </c>
      <c r="L99" s="6">
        <f>[1]BASE!AQ743</f>
        <v>0</v>
      </c>
      <c r="M99" s="6">
        <f>[1]BASE!AR743</f>
        <v>0</v>
      </c>
      <c r="N99" s="6">
        <f>[1]BASE!AS743</f>
        <v>0</v>
      </c>
      <c r="O99" s="6">
        <f>[1]BASE!AT743</f>
        <v>0</v>
      </c>
      <c r="P99" s="6">
        <f>[1]BASE!AU743</f>
        <v>0</v>
      </c>
      <c r="Q99" s="6">
        <f>[1]BASE!AV743</f>
        <v>0</v>
      </c>
      <c r="R99" s="6">
        <f>[1]BASE!AW743</f>
        <v>0</v>
      </c>
      <c r="S99" s="6">
        <f>[1]BASE!AX743</f>
        <v>0</v>
      </c>
      <c r="T99" s="6">
        <f>[1]BASE!AY743</f>
        <v>0</v>
      </c>
      <c r="U99" s="6">
        <f>[1]BASE!AZ743</f>
        <v>0</v>
      </c>
      <c r="V99" s="6">
        <f>[1]BASE!BA743</f>
        <v>0</v>
      </c>
      <c r="W99" s="6">
        <f>[1]BASE!BB743</f>
        <v>0</v>
      </c>
      <c r="X99" s="6">
        <f>[1]BASE!BC743</f>
        <v>0</v>
      </c>
      <c r="Y99" s="6">
        <f>[1]BASE!BD743</f>
        <v>0</v>
      </c>
      <c r="Z99" s="6">
        <f>[1]BASE!BE743</f>
        <v>0</v>
      </c>
      <c r="AA99" s="6">
        <f>[1]BASE!BF743</f>
        <v>0</v>
      </c>
      <c r="AB99" s="6">
        <f>[1]BASE!BG743</f>
        <v>0</v>
      </c>
      <c r="AC99" s="6">
        <f>[1]BASE!BH743</f>
        <v>0</v>
      </c>
      <c r="AD99" s="6">
        <f>[1]BASE!BI743</f>
        <v>0</v>
      </c>
      <c r="AE99" s="6">
        <f>[1]BASE!BJ743</f>
        <v>0</v>
      </c>
      <c r="AF99" s="6">
        <f>[1]BASE!BK743</f>
        <v>0</v>
      </c>
      <c r="AG99" s="6">
        <f>[1]BASE!BL743</f>
        <v>9814650</v>
      </c>
      <c r="AH99" s="6">
        <f>[1]BASE!BM743</f>
        <v>18731010</v>
      </c>
      <c r="AI99" s="6">
        <f>[1]BASE!BN743</f>
        <v>0</v>
      </c>
      <c r="AJ99" s="6">
        <f>[1]BASE!BO743</f>
        <v>3100764</v>
      </c>
      <c r="AK99" s="6">
        <f>[1]BASE!BP743</f>
        <v>-11090</v>
      </c>
      <c r="AL99" s="6">
        <f>[1]BASE!BQ743</f>
        <v>0</v>
      </c>
      <c r="AM99" s="6">
        <f>[1]BASE!BR743</f>
        <v>0</v>
      </c>
      <c r="AN99" s="6">
        <f>[1]BASE!BS743</f>
        <v>0</v>
      </c>
      <c r="AO99" s="6">
        <f>[1]BASE!BT743</f>
        <v>0</v>
      </c>
      <c r="AP99" s="6">
        <f>[1]BASE!BU743</f>
        <v>0</v>
      </c>
      <c r="AQ99" s="6">
        <f>[1]BASE!BV743</f>
        <v>0</v>
      </c>
      <c r="AR99" s="6">
        <f>[1]BASE!BW743</f>
        <v>0</v>
      </c>
      <c r="AS99" s="6">
        <f>[1]BASE!BX743</f>
        <v>0</v>
      </c>
      <c r="AT99" s="9">
        <f t="shared" si="5"/>
        <v>0</v>
      </c>
      <c r="AU99" s="9">
        <f t="shared" si="6"/>
        <v>9814650</v>
      </c>
      <c r="AV99" s="9">
        <f t="shared" si="7"/>
        <v>21820684</v>
      </c>
    </row>
    <row r="100" spans="1:48" x14ac:dyDescent="0.35">
      <c r="A100" t="str">
        <f>[1]BASE!H749</f>
        <v>OTRAS OP DEDICADAS</v>
      </c>
      <c r="B100" t="str">
        <f>[1]BASE!I749</f>
        <v>Contreras</v>
      </c>
      <c r="C100">
        <f>[1]BASE!J749</f>
        <v>0</v>
      </c>
      <c r="D100" t="str">
        <f>[1]BASE!K749</f>
        <v>FIJO</v>
      </c>
      <c r="E100" t="str">
        <f>[1]BASE!L749</f>
        <v>Proyecto Las grutas</v>
      </c>
      <c r="F100" t="str">
        <f>[1]BASE!M749</f>
        <v>VENTAS</v>
      </c>
      <c r="G100" t="str">
        <f>[1]BASE!N749</f>
        <v>ARS</v>
      </c>
      <c r="H100" t="str">
        <f>[1]BASE!CL749</f>
        <v>NN</v>
      </c>
      <c r="J100" s="6">
        <f>[1]BASE!AO749</f>
        <v>0</v>
      </c>
      <c r="K100" s="6">
        <f>[1]BASE!AP749</f>
        <v>0</v>
      </c>
      <c r="L100" s="6">
        <f>[1]BASE!AQ749</f>
        <v>0</v>
      </c>
      <c r="M100" s="6">
        <f>[1]BASE!AR749</f>
        <v>0</v>
      </c>
      <c r="N100" s="6">
        <f>[1]BASE!AS749</f>
        <v>0</v>
      </c>
      <c r="O100" s="6">
        <f>[1]BASE!AT749</f>
        <v>0</v>
      </c>
      <c r="P100" s="6">
        <f>[1]BASE!AU749</f>
        <v>0</v>
      </c>
      <c r="Q100" s="6">
        <f>[1]BASE!AV749</f>
        <v>0</v>
      </c>
      <c r="R100" s="6">
        <f>[1]BASE!AW749</f>
        <v>0</v>
      </c>
      <c r="S100" s="6">
        <f>[1]BASE!AX749</f>
        <v>0</v>
      </c>
      <c r="T100" s="6">
        <f>[1]BASE!AY749</f>
        <v>0</v>
      </c>
      <c r="U100" s="6">
        <f>[1]BASE!AZ749</f>
        <v>0</v>
      </c>
      <c r="V100" s="6">
        <f>[1]BASE!BA749</f>
        <v>0</v>
      </c>
      <c r="W100" s="6">
        <f>[1]BASE!BB749</f>
        <v>0</v>
      </c>
      <c r="X100" s="6">
        <f>[1]BASE!BC749</f>
        <v>0</v>
      </c>
      <c r="Y100" s="6">
        <f>[1]BASE!BD749</f>
        <v>0</v>
      </c>
      <c r="Z100" s="6">
        <f>[1]BASE!BE749</f>
        <v>0</v>
      </c>
      <c r="AA100" s="6">
        <f>[1]BASE!BF749</f>
        <v>0</v>
      </c>
      <c r="AB100" s="6">
        <f>[1]BASE!BG749</f>
        <v>0</v>
      </c>
      <c r="AC100" s="6">
        <f>[1]BASE!BH749</f>
        <v>0</v>
      </c>
      <c r="AD100" s="6">
        <f>[1]BASE!BI749</f>
        <v>0</v>
      </c>
      <c r="AE100" s="6">
        <f>[1]BASE!BJ749</f>
        <v>0</v>
      </c>
      <c r="AF100" s="6">
        <f>[1]BASE!BK749</f>
        <v>0</v>
      </c>
      <c r="AG100" s="6">
        <f>[1]BASE!BL749</f>
        <v>0</v>
      </c>
      <c r="AH100" s="6">
        <f>[1]BASE!BM749</f>
        <v>0</v>
      </c>
      <c r="AI100" s="6">
        <f>[1]BASE!BN749</f>
        <v>0</v>
      </c>
      <c r="AJ100" s="6">
        <f>[1]BASE!BO749</f>
        <v>0</v>
      </c>
      <c r="AK100" s="6">
        <f>[1]BASE!BP749</f>
        <v>0</v>
      </c>
      <c r="AL100" s="6">
        <f>[1]BASE!BQ749</f>
        <v>0</v>
      </c>
      <c r="AM100" s="6">
        <f>[1]BASE!BR749</f>
        <v>0</v>
      </c>
      <c r="AN100" s="6">
        <f>[1]BASE!BS749</f>
        <v>0</v>
      </c>
      <c r="AO100" s="6">
        <f>[1]BASE!BT749</f>
        <v>0</v>
      </c>
      <c r="AP100" s="6">
        <f>[1]BASE!BU749</f>
        <v>0</v>
      </c>
      <c r="AQ100" s="6">
        <f>[1]BASE!BV749</f>
        <v>0</v>
      </c>
      <c r="AR100" s="6">
        <f>[1]BASE!BW749</f>
        <v>0</v>
      </c>
      <c r="AS100" s="6">
        <f>[1]BASE!BX749</f>
        <v>0</v>
      </c>
      <c r="AT100" s="9">
        <f t="shared" si="5"/>
        <v>0</v>
      </c>
      <c r="AU100" s="9">
        <f t="shared" si="6"/>
        <v>0</v>
      </c>
      <c r="AV100" s="9">
        <f t="shared" si="7"/>
        <v>0</v>
      </c>
    </row>
    <row r="101" spans="1:48" x14ac:dyDescent="0.35">
      <c r="A101" t="str">
        <f>[1]BASE!H755</f>
        <v>OTRAS OP DEDICADAS</v>
      </c>
      <c r="B101" t="str">
        <f>[1]BASE!I755</f>
        <v>IAN Servicios</v>
      </c>
      <c r="C101">
        <f>[1]BASE!J755</f>
        <v>0</v>
      </c>
      <c r="D101" t="str">
        <f>[1]BASE!K755</f>
        <v>FIJO</v>
      </c>
      <c r="E101" t="str">
        <f>[1]BASE!L755</f>
        <v>IAN Servicios</v>
      </c>
      <c r="F101" t="str">
        <f>[1]BASE!M755</f>
        <v>VENTAS</v>
      </c>
      <c r="G101" t="str">
        <f>[1]BASE!N755</f>
        <v>ARS</v>
      </c>
      <c r="H101" t="str">
        <f>[1]BASE!CL755</f>
        <v>NN</v>
      </c>
      <c r="J101" s="6">
        <f>[1]BASE!AO755</f>
        <v>0</v>
      </c>
      <c r="K101" s="6">
        <f>[1]BASE!AP755</f>
        <v>0</v>
      </c>
      <c r="L101" s="6">
        <f>[1]BASE!AQ755</f>
        <v>0</v>
      </c>
      <c r="M101" s="6">
        <f>[1]BASE!AR755</f>
        <v>0</v>
      </c>
      <c r="N101" s="6">
        <f>[1]BASE!AS755</f>
        <v>0</v>
      </c>
      <c r="O101" s="6">
        <f>[1]BASE!AT755</f>
        <v>0</v>
      </c>
      <c r="P101" s="6">
        <f>[1]BASE!AU755</f>
        <v>0</v>
      </c>
      <c r="Q101" s="6">
        <f>[1]BASE!AV755</f>
        <v>0</v>
      </c>
      <c r="R101" s="6">
        <f>[1]BASE!AW755</f>
        <v>0</v>
      </c>
      <c r="S101" s="6">
        <f>[1]BASE!AX755</f>
        <v>0</v>
      </c>
      <c r="T101" s="6">
        <f>[1]BASE!AY755</f>
        <v>0</v>
      </c>
      <c r="U101" s="6">
        <f>[1]BASE!AZ755</f>
        <v>0</v>
      </c>
      <c r="V101" s="6">
        <f>[1]BASE!BA755</f>
        <v>0</v>
      </c>
      <c r="W101" s="6">
        <f>[1]BASE!BB755</f>
        <v>0</v>
      </c>
      <c r="X101" s="6">
        <f>[1]BASE!BC755</f>
        <v>0</v>
      </c>
      <c r="Y101" s="6">
        <f>[1]BASE!BD755</f>
        <v>0</v>
      </c>
      <c r="Z101" s="6">
        <f>[1]BASE!BE755</f>
        <v>0</v>
      </c>
      <c r="AA101" s="6">
        <f>[1]BASE!BF755</f>
        <v>0</v>
      </c>
      <c r="AB101" s="6">
        <f>[1]BASE!BG755</f>
        <v>0</v>
      </c>
      <c r="AC101" s="6">
        <f>[1]BASE!BH755</f>
        <v>0</v>
      </c>
      <c r="AD101" s="6">
        <f>[1]BASE!BI755</f>
        <v>0</v>
      </c>
      <c r="AE101" s="6">
        <f>[1]BASE!BJ755</f>
        <v>0</v>
      </c>
      <c r="AF101" s="6">
        <f>[1]BASE!BK755</f>
        <v>0</v>
      </c>
      <c r="AG101" s="6">
        <f>[1]BASE!BL755</f>
        <v>0</v>
      </c>
      <c r="AH101" s="6">
        <f>[1]BASE!BM755</f>
        <v>2721323.49</v>
      </c>
      <c r="AI101" s="6">
        <f>[1]BASE!BN755</f>
        <v>6761046.5719999988</v>
      </c>
      <c r="AJ101" s="6">
        <f>[1]BASE!BO755</f>
        <v>0</v>
      </c>
      <c r="AK101" s="6">
        <f>[1]BASE!BP755</f>
        <v>0</v>
      </c>
      <c r="AL101" s="6">
        <f>[1]BASE!BQ755</f>
        <v>0</v>
      </c>
      <c r="AM101" s="6">
        <f>[1]BASE!BR755</f>
        <v>0</v>
      </c>
      <c r="AN101" s="6">
        <f>[1]BASE!BS755</f>
        <v>0</v>
      </c>
      <c r="AO101" s="6">
        <f>[1]BASE!BT755</f>
        <v>0</v>
      </c>
      <c r="AP101" s="6">
        <f>[1]BASE!BU755</f>
        <v>0</v>
      </c>
      <c r="AQ101" s="6">
        <f>[1]BASE!BV755</f>
        <v>0</v>
      </c>
      <c r="AR101" s="6">
        <f>[1]BASE!BW755</f>
        <v>0</v>
      </c>
      <c r="AS101" s="6">
        <f>[1]BASE!BX755</f>
        <v>0</v>
      </c>
      <c r="AT101" s="9">
        <f t="shared" si="5"/>
        <v>0</v>
      </c>
      <c r="AU101" s="9">
        <f t="shared" si="6"/>
        <v>0</v>
      </c>
      <c r="AV101" s="9">
        <f t="shared" si="7"/>
        <v>9482370.061999999</v>
      </c>
    </row>
    <row r="102" spans="1:48" x14ac:dyDescent="0.35">
      <c r="A102" t="str">
        <f>[1]BASE!H761</f>
        <v>MINERIA</v>
      </c>
      <c r="B102" t="str">
        <f>[1]BASE!I761</f>
        <v>Rio Tinto</v>
      </c>
      <c r="C102">
        <f>[1]BASE!J761</f>
        <v>0</v>
      </c>
      <c r="D102" t="str">
        <f>[1]BASE!K761</f>
        <v>FIJO</v>
      </c>
      <c r="E102" t="str">
        <f>[1]BASE!L761</f>
        <v>Salar de Rincon &amp; Sal de vida</v>
      </c>
      <c r="F102" t="str">
        <f>[1]BASE!M761</f>
        <v>VENTAS</v>
      </c>
      <c r="G102" t="str">
        <f>[1]BASE!N761</f>
        <v>ARS</v>
      </c>
      <c r="H102" t="str">
        <f>[1]BASE!CL761</f>
        <v>NN</v>
      </c>
      <c r="J102" s="6">
        <f>[1]BASE!AO761</f>
        <v>0</v>
      </c>
      <c r="K102" s="6">
        <f>[1]BASE!AP761</f>
        <v>0</v>
      </c>
      <c r="L102" s="6">
        <f>[1]BASE!AQ761</f>
        <v>0</v>
      </c>
      <c r="M102" s="6">
        <f>[1]BASE!AR761</f>
        <v>0</v>
      </c>
      <c r="N102" s="6">
        <f>[1]BASE!AS761</f>
        <v>0</v>
      </c>
      <c r="O102" s="6">
        <f>[1]BASE!AT761</f>
        <v>0</v>
      </c>
      <c r="P102" s="6">
        <f>[1]BASE!AU761</f>
        <v>0</v>
      </c>
      <c r="Q102" s="6">
        <f>[1]BASE!AV761</f>
        <v>0</v>
      </c>
      <c r="R102" s="6">
        <f>[1]BASE!AW761</f>
        <v>0</v>
      </c>
      <c r="S102" s="6">
        <f>[1]BASE!AX761</f>
        <v>0</v>
      </c>
      <c r="T102" s="6">
        <f>[1]BASE!AY761</f>
        <v>0</v>
      </c>
      <c r="U102" s="6">
        <f>[1]BASE!AZ761</f>
        <v>0</v>
      </c>
      <c r="V102" s="6">
        <f>[1]BASE!BA761</f>
        <v>0</v>
      </c>
      <c r="W102" s="6">
        <f>[1]BASE!BB761</f>
        <v>0</v>
      </c>
      <c r="X102" s="6">
        <f>[1]BASE!BC761</f>
        <v>0</v>
      </c>
      <c r="Y102" s="6">
        <f>[1]BASE!BD761</f>
        <v>0</v>
      </c>
      <c r="Z102" s="6">
        <f>[1]BASE!BE761</f>
        <v>0</v>
      </c>
      <c r="AA102" s="6">
        <f>[1]BASE!BF761</f>
        <v>0</v>
      </c>
      <c r="AB102" s="6">
        <f>[1]BASE!BG761</f>
        <v>0</v>
      </c>
      <c r="AC102" s="6">
        <f>[1]BASE!BH761</f>
        <v>0</v>
      </c>
      <c r="AD102" s="6">
        <f>[1]BASE!BI761</f>
        <v>0</v>
      </c>
      <c r="AE102" s="6">
        <f>[1]BASE!BJ761</f>
        <v>0</v>
      </c>
      <c r="AF102" s="6">
        <f>[1]BASE!BK761</f>
        <v>0</v>
      </c>
      <c r="AG102" s="6">
        <f>[1]BASE!BL761</f>
        <v>0</v>
      </c>
      <c r="AH102" s="6">
        <f>[1]BASE!BM761</f>
        <v>0</v>
      </c>
      <c r="AI102" s="6">
        <f>[1]BASE!BN761</f>
        <v>0</v>
      </c>
      <c r="AJ102" s="6">
        <f>[1]BASE!BO761</f>
        <v>0</v>
      </c>
      <c r="AK102" s="6">
        <f>[1]BASE!BP761</f>
        <v>0</v>
      </c>
      <c r="AL102" s="6">
        <f>[1]BASE!BQ761</f>
        <v>0</v>
      </c>
      <c r="AM102" s="6">
        <f>[1]BASE!BR761</f>
        <v>3955233.7499999991</v>
      </c>
      <c r="AN102" s="6">
        <f>[1]BASE!BS761</f>
        <v>8099916.7077586623</v>
      </c>
      <c r="AO102" s="6">
        <f>[1]BASE!BT761</f>
        <v>8302414.6254526284</v>
      </c>
      <c r="AP102" s="6">
        <f>[1]BASE!BU761</f>
        <v>8491779.7231074478</v>
      </c>
      <c r="AQ102" s="6">
        <f>[1]BASE!BV761</f>
        <v>17666095.520639375</v>
      </c>
      <c r="AR102" s="6">
        <f>[1]BASE!BW761</f>
        <v>17989979.594089329</v>
      </c>
      <c r="AS102" s="6">
        <f>[1]BASE!BX761</f>
        <v>18293676.367524594</v>
      </c>
      <c r="AT102" s="9">
        <f t="shared" si="5"/>
        <v>0</v>
      </c>
      <c r="AU102" s="9">
        <f t="shared" si="6"/>
        <v>0</v>
      </c>
      <c r="AV102" s="9">
        <f t="shared" si="7"/>
        <v>82799096.288572043</v>
      </c>
    </row>
    <row r="103" spans="1:48" x14ac:dyDescent="0.35">
      <c r="A103" t="str">
        <f>[1]BASE!H770</f>
        <v>OTRAS OP DEDICADAS</v>
      </c>
      <c r="B103" t="str">
        <f>[1]BASE!I770</f>
        <v>ENEL</v>
      </c>
      <c r="C103">
        <f>[1]BASE!J770</f>
        <v>0</v>
      </c>
      <c r="D103" t="str">
        <f>[1]BASE!K770</f>
        <v>FIJO</v>
      </c>
      <c r="E103" t="str">
        <f>[1]BASE!L770</f>
        <v>Enel</v>
      </c>
      <c r="F103" t="str">
        <f>[1]BASE!M770</f>
        <v>VENTAS</v>
      </c>
      <c r="G103" t="str">
        <f>[1]BASE!N770</f>
        <v>ARS</v>
      </c>
      <c r="H103" t="str">
        <f>[1]BASE!CL770</f>
        <v xml:space="preserve">BAU </v>
      </c>
      <c r="J103" s="6">
        <f>[1]BASE!AO770</f>
        <v>0</v>
      </c>
      <c r="K103" s="6">
        <f>[1]BASE!AP770</f>
        <v>0</v>
      </c>
      <c r="L103" s="6">
        <f>[1]BASE!AQ770</f>
        <v>0</v>
      </c>
      <c r="M103" s="6">
        <f>[1]BASE!AR770</f>
        <v>0</v>
      </c>
      <c r="N103" s="6">
        <f>[1]BASE!AS770</f>
        <v>0</v>
      </c>
      <c r="O103" s="6">
        <f>[1]BASE!AT770</f>
        <v>0</v>
      </c>
      <c r="P103" s="6">
        <f>[1]BASE!AU770</f>
        <v>0</v>
      </c>
      <c r="Q103" s="6">
        <f>[1]BASE!AV770</f>
        <v>0</v>
      </c>
      <c r="R103" s="6">
        <f>[1]BASE!AW770</f>
        <v>0</v>
      </c>
      <c r="S103" s="6">
        <f>[1]BASE!AX770</f>
        <v>0</v>
      </c>
      <c r="T103" s="6">
        <f>[1]BASE!AY770</f>
        <v>0</v>
      </c>
      <c r="U103" s="6">
        <f>[1]BASE!AZ770</f>
        <v>0</v>
      </c>
      <c r="V103" s="6">
        <f>[1]BASE!BA770</f>
        <v>0</v>
      </c>
      <c r="W103" s="6">
        <f>[1]BASE!BB770</f>
        <v>0</v>
      </c>
      <c r="X103" s="6">
        <f>[1]BASE!BC770</f>
        <v>0</v>
      </c>
      <c r="Y103" s="6">
        <f>[1]BASE!BD770</f>
        <v>0</v>
      </c>
      <c r="Z103" s="6">
        <f>[1]BASE!BE770</f>
        <v>0</v>
      </c>
      <c r="AA103" s="6">
        <f>[1]BASE!BF770</f>
        <v>0</v>
      </c>
      <c r="AB103" s="6">
        <f>[1]BASE!BG770</f>
        <v>0</v>
      </c>
      <c r="AC103" s="6">
        <f>[1]BASE!BH770</f>
        <v>0</v>
      </c>
      <c r="AD103" s="6">
        <f>[1]BASE!BI770</f>
        <v>0</v>
      </c>
      <c r="AE103" s="6">
        <f>[1]BASE!BJ770</f>
        <v>0</v>
      </c>
      <c r="AF103" s="6">
        <f>[1]BASE!BK770</f>
        <v>0</v>
      </c>
      <c r="AG103" s="6">
        <f>[1]BASE!BL770</f>
        <v>0</v>
      </c>
      <c r="AH103" s="6">
        <f>[1]BASE!BM770</f>
        <v>28507798.969000001</v>
      </c>
      <c r="AI103" s="6">
        <f>[1]BASE!BN770</f>
        <v>10264879.300000001</v>
      </c>
      <c r="AJ103" s="6">
        <f>[1]BASE!BO770</f>
        <v>17078025.690000001</v>
      </c>
      <c r="AK103" s="6">
        <f>[1]BASE!BP770</f>
        <v>17078025.690000001</v>
      </c>
      <c r="AL103" s="6">
        <f>[1]BASE!BQ770</f>
        <v>6742901.4098622082</v>
      </c>
      <c r="AM103" s="6">
        <f>[1]BASE!BR770</f>
        <v>6921874.0408646986</v>
      </c>
      <c r="AN103" s="6">
        <f>[1]BASE!BS770</f>
        <v>0</v>
      </c>
      <c r="AO103" s="6">
        <f>[1]BASE!BT770</f>
        <v>0</v>
      </c>
      <c r="AP103" s="6">
        <f>[1]BASE!BU770</f>
        <v>0</v>
      </c>
      <c r="AQ103" s="6">
        <f>[1]BASE!BV770</f>
        <v>0</v>
      </c>
      <c r="AR103" s="6">
        <f>[1]BASE!BW770</f>
        <v>0</v>
      </c>
      <c r="AS103" s="6">
        <f>[1]BASE!BX770</f>
        <v>0</v>
      </c>
      <c r="AT103" s="9">
        <f t="shared" si="5"/>
        <v>0</v>
      </c>
      <c r="AU103" s="9">
        <f t="shared" si="6"/>
        <v>0</v>
      </c>
      <c r="AV103" s="9">
        <f t="shared" si="7"/>
        <v>86593505.099726915</v>
      </c>
    </row>
    <row r="104" spans="1:48" x14ac:dyDescent="0.35">
      <c r="A104" t="str">
        <f>[1]BASE!H779</f>
        <v>OTRAS OP DEDICADAS</v>
      </c>
      <c r="B104" t="str">
        <f>[1]BASE!I779</f>
        <v>MILICIC</v>
      </c>
      <c r="C104">
        <f>[1]BASE!J779</f>
        <v>0</v>
      </c>
      <c r="D104" t="str">
        <f>[1]BASE!K779</f>
        <v>FIJO</v>
      </c>
      <c r="E104" t="str">
        <f>[1]BASE!L779</f>
        <v>Obras Infraestructura en NOA &amp; Rio negro/NQN</v>
      </c>
      <c r="F104" t="str">
        <f>[1]BASE!M779</f>
        <v>VENTAS</v>
      </c>
      <c r="G104" t="str">
        <f>[1]BASE!N779</f>
        <v>ARS</v>
      </c>
      <c r="H104" t="str">
        <f>[1]BASE!CL779</f>
        <v>NN</v>
      </c>
      <c r="J104" s="6">
        <f>[1]BASE!AO779</f>
        <v>0</v>
      </c>
      <c r="K104" s="6">
        <f>[1]BASE!AP779</f>
        <v>0</v>
      </c>
      <c r="L104" s="6">
        <f>[1]BASE!AQ779</f>
        <v>0</v>
      </c>
      <c r="M104" s="6">
        <f>[1]BASE!AR779</f>
        <v>0</v>
      </c>
      <c r="N104" s="6">
        <f>[1]BASE!AS779</f>
        <v>0</v>
      </c>
      <c r="O104" s="6">
        <f>[1]BASE!AT779</f>
        <v>0</v>
      </c>
      <c r="P104" s="6">
        <f>[1]BASE!AU779</f>
        <v>0</v>
      </c>
      <c r="Q104" s="6">
        <f>[1]BASE!AV779</f>
        <v>0</v>
      </c>
      <c r="R104" s="6">
        <f>[1]BASE!AW779</f>
        <v>0</v>
      </c>
      <c r="S104" s="6">
        <f>[1]BASE!AX779</f>
        <v>0</v>
      </c>
      <c r="T104" s="6">
        <f>[1]BASE!AY779</f>
        <v>0</v>
      </c>
      <c r="U104" s="6">
        <f>[1]BASE!AZ779</f>
        <v>0</v>
      </c>
      <c r="V104" s="6">
        <f>[1]BASE!BA779</f>
        <v>0</v>
      </c>
      <c r="W104" s="6">
        <f>[1]BASE!BB779</f>
        <v>0</v>
      </c>
      <c r="X104" s="6">
        <f>[1]BASE!BC779</f>
        <v>0</v>
      </c>
      <c r="Y104" s="6">
        <f>[1]BASE!BD779</f>
        <v>0</v>
      </c>
      <c r="Z104" s="6">
        <f>[1]BASE!BE779</f>
        <v>0</v>
      </c>
      <c r="AA104" s="6">
        <f>[1]BASE!BF779</f>
        <v>0</v>
      </c>
      <c r="AB104" s="6">
        <f>[1]BASE!BG779</f>
        <v>0</v>
      </c>
      <c r="AC104" s="6">
        <f>[1]BASE!BH779</f>
        <v>0</v>
      </c>
      <c r="AD104" s="6">
        <f>[1]BASE!BI779</f>
        <v>0</v>
      </c>
      <c r="AE104" s="6">
        <f>[1]BASE!BJ779</f>
        <v>0</v>
      </c>
      <c r="AF104" s="6">
        <f>[1]BASE!BK779</f>
        <v>0</v>
      </c>
      <c r="AG104" s="6">
        <f>[1]BASE!BL779</f>
        <v>0</v>
      </c>
      <c r="AH104" s="6">
        <f>[1]BASE!BM779</f>
        <v>0</v>
      </c>
      <c r="AI104" s="6">
        <f>[1]BASE!BN779</f>
        <v>0</v>
      </c>
      <c r="AJ104" s="6">
        <f>[1]BASE!BO779</f>
        <v>0</v>
      </c>
      <c r="AK104" s="6">
        <f>[1]BASE!BP779</f>
        <v>0</v>
      </c>
      <c r="AL104" s="6">
        <f>[1]BASE!BQ779</f>
        <v>0</v>
      </c>
      <c r="AM104" s="6">
        <f>[1]BASE!BR779</f>
        <v>0</v>
      </c>
      <c r="AN104" s="6">
        <f>[1]BASE!BS779</f>
        <v>13084347.93583509</v>
      </c>
      <c r="AO104" s="6">
        <f>[1]BASE!BT779</f>
        <v>13382781.456250116</v>
      </c>
      <c r="AP104" s="6">
        <f>[1]BASE!BU779</f>
        <v>13657497.746451773</v>
      </c>
      <c r="AQ104" s="6">
        <f>[1]BASE!BV779</f>
        <v>13909817.745395742</v>
      </c>
      <c r="AR104" s="6">
        <f>[1]BASE!BW779</f>
        <v>14141101.157451717</v>
      </c>
      <c r="AS104" s="6">
        <f>[1]BASE!BX779</f>
        <v>0</v>
      </c>
      <c r="AT104" s="9">
        <f t="shared" si="5"/>
        <v>0</v>
      </c>
      <c r="AU104" s="9">
        <f t="shared" si="6"/>
        <v>0</v>
      </c>
      <c r="AV104" s="9">
        <f t="shared" si="7"/>
        <v>68175546.041384429</v>
      </c>
    </row>
    <row r="105" spans="1:48" x14ac:dyDescent="0.35">
      <c r="A105" t="str">
        <f>[1]BASE!H788</f>
        <v>MINERIA</v>
      </c>
      <c r="B105" t="str">
        <f>[1]BASE!I788</f>
        <v>Casposo</v>
      </c>
      <c r="C105">
        <f>[1]BASE!J788</f>
        <v>0</v>
      </c>
      <c r="D105" t="str">
        <f>[1]BASE!K788</f>
        <v>FIJO</v>
      </c>
      <c r="E105" t="str">
        <f>[1]BASE!L788</f>
        <v>Casposo</v>
      </c>
      <c r="F105" t="str">
        <f>[1]BASE!M788</f>
        <v>VENTAS</v>
      </c>
      <c r="G105" t="str">
        <f>[1]BASE!N788</f>
        <v>ARS</v>
      </c>
      <c r="H105" t="str">
        <f>[1]BASE!CL788</f>
        <v>NN</v>
      </c>
      <c r="J105" s="6">
        <f>[1]BASE!AO788</f>
        <v>0</v>
      </c>
      <c r="K105" s="6">
        <f>[1]BASE!AP788</f>
        <v>0</v>
      </c>
      <c r="L105" s="6">
        <f>[1]BASE!AQ788</f>
        <v>0</v>
      </c>
      <c r="M105" s="6">
        <f>[1]BASE!AR788</f>
        <v>0</v>
      </c>
      <c r="N105" s="6">
        <f>[1]BASE!AS788</f>
        <v>0</v>
      </c>
      <c r="O105" s="6">
        <f>[1]BASE!AT788</f>
        <v>0</v>
      </c>
      <c r="P105" s="6">
        <f>[1]BASE!AU788</f>
        <v>0</v>
      </c>
      <c r="Q105" s="6">
        <f>[1]BASE!AV788</f>
        <v>0</v>
      </c>
      <c r="R105" s="6">
        <f>[1]BASE!AW788</f>
        <v>0</v>
      </c>
      <c r="S105" s="6">
        <f>[1]BASE!AX788</f>
        <v>0</v>
      </c>
      <c r="T105" s="6">
        <f>[1]BASE!AY788</f>
        <v>0</v>
      </c>
      <c r="U105" s="6">
        <f>[1]BASE!AZ788</f>
        <v>0</v>
      </c>
      <c r="V105" s="6">
        <f>[1]BASE!BA788</f>
        <v>0</v>
      </c>
      <c r="W105" s="6">
        <f>[1]BASE!BB788</f>
        <v>0</v>
      </c>
      <c r="X105" s="6">
        <f>[1]BASE!BC788</f>
        <v>0</v>
      </c>
      <c r="Y105" s="6">
        <f>[1]BASE!BD788</f>
        <v>0</v>
      </c>
      <c r="Z105" s="6">
        <f>[1]BASE!BE788</f>
        <v>0</v>
      </c>
      <c r="AA105" s="6">
        <f>[1]BASE!BF788</f>
        <v>0</v>
      </c>
      <c r="AB105" s="6">
        <f>[1]BASE!BG788</f>
        <v>0</v>
      </c>
      <c r="AC105" s="6">
        <f>[1]BASE!BH788</f>
        <v>0</v>
      </c>
      <c r="AD105" s="6">
        <f>[1]BASE!BI788</f>
        <v>0</v>
      </c>
      <c r="AE105" s="6">
        <f>[1]BASE!BJ788</f>
        <v>0</v>
      </c>
      <c r="AF105" s="6">
        <f>[1]BASE!BK788</f>
        <v>0</v>
      </c>
      <c r="AG105" s="6">
        <f>[1]BASE!BL788</f>
        <v>0</v>
      </c>
      <c r="AH105" s="6">
        <f>[1]BASE!BM788</f>
        <v>0</v>
      </c>
      <c r="AI105" s="6">
        <f>[1]BASE!BN788</f>
        <v>0</v>
      </c>
      <c r="AJ105" s="6">
        <f>[1]BASE!BO788</f>
        <v>0</v>
      </c>
      <c r="AK105" s="6">
        <f>[1]BASE!BP788</f>
        <v>0</v>
      </c>
      <c r="AL105" s="6">
        <f>[1]BASE!BQ788</f>
        <v>0</v>
      </c>
      <c r="AM105" s="6">
        <f>[1]BASE!BR788</f>
        <v>0</v>
      </c>
      <c r="AN105" s="6">
        <f>[1]BASE!BS788</f>
        <v>0</v>
      </c>
      <c r="AO105" s="6">
        <f>[1]BASE!BT788</f>
        <v>0</v>
      </c>
      <c r="AP105" s="6">
        <f>[1]BASE!BU788</f>
        <v>0</v>
      </c>
      <c r="AQ105" s="6">
        <f>[1]BASE!BV788</f>
        <v>32833584.77915442</v>
      </c>
      <c r="AR105" s="6">
        <f>[1]BASE!BW788</f>
        <v>33431080.870835707</v>
      </c>
      <c r="AS105" s="6">
        <f>[1]BASE!BX788</f>
        <v>34003627.27164948</v>
      </c>
      <c r="AT105" s="9">
        <f t="shared" si="5"/>
        <v>0</v>
      </c>
      <c r="AU105" s="9">
        <f t="shared" si="6"/>
        <v>0</v>
      </c>
      <c r="AV105" s="9">
        <f t="shared" si="7"/>
        <v>100268292.92163961</v>
      </c>
    </row>
    <row r="106" spans="1:48" x14ac:dyDescent="0.35">
      <c r="A106" t="str">
        <f>[1]BASE!H797</f>
        <v>MINERIA</v>
      </c>
      <c r="B106" t="str">
        <f>[1]BASE!I797</f>
        <v>McEwen</v>
      </c>
      <c r="C106">
        <f>[1]BASE!J797</f>
        <v>0</v>
      </c>
      <c r="D106" t="str">
        <f>[1]BASE!K797</f>
        <v>FIJO</v>
      </c>
      <c r="E106" t="str">
        <f>[1]BASE!L797</f>
        <v>Los Azules</v>
      </c>
      <c r="F106" t="str">
        <f>[1]BASE!M797</f>
        <v>VENTAS</v>
      </c>
      <c r="G106" t="str">
        <f>[1]BASE!N797</f>
        <v>ARS</v>
      </c>
      <c r="H106" t="str">
        <f>[1]BASE!CL797</f>
        <v>NN</v>
      </c>
      <c r="J106" s="6">
        <f>[1]BASE!AO797</f>
        <v>0</v>
      </c>
      <c r="K106" s="6">
        <f>[1]BASE!AP797</f>
        <v>0</v>
      </c>
      <c r="L106" s="6">
        <f>[1]BASE!AQ797</f>
        <v>0</v>
      </c>
      <c r="M106" s="6">
        <f>[1]BASE!AR797</f>
        <v>0</v>
      </c>
      <c r="N106" s="6">
        <f>[1]BASE!AS797</f>
        <v>0</v>
      </c>
      <c r="O106" s="6">
        <f>[1]BASE!AT797</f>
        <v>0</v>
      </c>
      <c r="P106" s="6">
        <f>[1]BASE!AU797</f>
        <v>0</v>
      </c>
      <c r="Q106" s="6">
        <f>[1]BASE!AV797</f>
        <v>0</v>
      </c>
      <c r="R106" s="6">
        <f>[1]BASE!AW797</f>
        <v>0</v>
      </c>
      <c r="S106" s="6">
        <f>[1]BASE!AX797</f>
        <v>0</v>
      </c>
      <c r="T106" s="6">
        <f>[1]BASE!AY797</f>
        <v>0</v>
      </c>
      <c r="U106" s="6">
        <f>[1]BASE!AZ797</f>
        <v>0</v>
      </c>
      <c r="V106" s="6">
        <f>[1]BASE!BA797</f>
        <v>0</v>
      </c>
      <c r="W106" s="6">
        <f>[1]BASE!BB797</f>
        <v>0</v>
      </c>
      <c r="X106" s="6">
        <f>[1]BASE!BC797</f>
        <v>0</v>
      </c>
      <c r="Y106" s="6">
        <f>[1]BASE!BD797</f>
        <v>0</v>
      </c>
      <c r="Z106" s="6">
        <f>[1]BASE!BE797</f>
        <v>0</v>
      </c>
      <c r="AA106" s="6">
        <f>[1]BASE!BF797</f>
        <v>0</v>
      </c>
      <c r="AB106" s="6">
        <f>[1]BASE!BG797</f>
        <v>0</v>
      </c>
      <c r="AC106" s="6">
        <f>[1]BASE!BH797</f>
        <v>0</v>
      </c>
      <c r="AD106" s="6">
        <f>[1]BASE!BI797</f>
        <v>0</v>
      </c>
      <c r="AE106" s="6">
        <f>[1]BASE!BJ797</f>
        <v>0</v>
      </c>
      <c r="AF106" s="6">
        <f>[1]BASE!BK797</f>
        <v>0</v>
      </c>
      <c r="AG106" s="6">
        <f>[1]BASE!BL797</f>
        <v>0</v>
      </c>
      <c r="AH106" s="6">
        <f>[1]BASE!BM797</f>
        <v>0</v>
      </c>
      <c r="AI106" s="6">
        <f>[1]BASE!BN797</f>
        <v>0</v>
      </c>
      <c r="AJ106" s="6">
        <f>[1]BASE!BO797</f>
        <v>0</v>
      </c>
      <c r="AK106" s="6">
        <f>[1]BASE!BP797</f>
        <v>0</v>
      </c>
      <c r="AL106" s="6">
        <f>[1]BASE!BQ797</f>
        <v>0</v>
      </c>
      <c r="AM106" s="6">
        <f>[1]BASE!BR797</f>
        <v>0</v>
      </c>
      <c r="AN106" s="6">
        <f>[1]BASE!BS797</f>
        <v>0</v>
      </c>
      <c r="AO106" s="6">
        <f>[1]BASE!BT797</f>
        <v>0</v>
      </c>
      <c r="AP106" s="6">
        <f>[1]BASE!BU797</f>
        <v>12378022.201933023</v>
      </c>
      <c r="AQ106" s="6">
        <f>[1]BASE!BV797</f>
        <v>12628301.838136323</v>
      </c>
      <c r="AR106" s="6">
        <f>[1]BASE!BW797</f>
        <v>12858108.02724451</v>
      </c>
      <c r="AS106" s="6">
        <f>[1]BASE!BX797</f>
        <v>13078318.181403656</v>
      </c>
      <c r="AT106" s="9">
        <f t="shared" si="5"/>
        <v>0</v>
      </c>
      <c r="AU106" s="9">
        <f t="shared" si="6"/>
        <v>0</v>
      </c>
      <c r="AV106" s="9">
        <f t="shared" si="7"/>
        <v>50942750.248717517</v>
      </c>
    </row>
    <row r="107" spans="1:48" x14ac:dyDescent="0.35">
      <c r="A107" t="str">
        <f>[1]BASE!H806</f>
        <v>MINERIA</v>
      </c>
      <c r="B107" t="str">
        <f>[1]BASE!I806</f>
        <v>Minera San Jorge SA</v>
      </c>
      <c r="C107">
        <f>[1]BASE!J806</f>
        <v>0</v>
      </c>
      <c r="D107" t="str">
        <f>[1]BASE!K806</f>
        <v>FIJO</v>
      </c>
      <c r="E107" t="str">
        <f>[1]BASE!L806</f>
        <v>Proyecto San Jorge</v>
      </c>
      <c r="F107" t="str">
        <f>[1]BASE!M806</f>
        <v>VENTAS</v>
      </c>
      <c r="G107" t="str">
        <f>[1]BASE!N806</f>
        <v>ARS</v>
      </c>
      <c r="H107" t="str">
        <f>[1]BASE!CL806</f>
        <v>NN</v>
      </c>
      <c r="J107" s="6">
        <f>[1]BASE!AO806</f>
        <v>0</v>
      </c>
      <c r="K107" s="6">
        <f>[1]BASE!AP806</f>
        <v>0</v>
      </c>
      <c r="L107" s="6">
        <f>[1]BASE!AQ806</f>
        <v>0</v>
      </c>
      <c r="M107" s="6">
        <f>[1]BASE!AR806</f>
        <v>0</v>
      </c>
      <c r="N107" s="6">
        <f>[1]BASE!AS806</f>
        <v>0</v>
      </c>
      <c r="O107" s="6">
        <f>[1]BASE!AT806</f>
        <v>0</v>
      </c>
      <c r="P107" s="6">
        <f>[1]BASE!AU806</f>
        <v>0</v>
      </c>
      <c r="Q107" s="6">
        <f>[1]BASE!AV806</f>
        <v>0</v>
      </c>
      <c r="R107" s="6">
        <f>[1]BASE!AW806</f>
        <v>0</v>
      </c>
      <c r="S107" s="6">
        <f>[1]BASE!AX806</f>
        <v>0</v>
      </c>
      <c r="T107" s="6">
        <f>[1]BASE!AY806</f>
        <v>0</v>
      </c>
      <c r="U107" s="6">
        <f>[1]BASE!AZ806</f>
        <v>0</v>
      </c>
      <c r="V107" s="6">
        <f>[1]BASE!BA806</f>
        <v>0</v>
      </c>
      <c r="W107" s="6">
        <f>[1]BASE!BB806</f>
        <v>0</v>
      </c>
      <c r="X107" s="6">
        <f>[1]BASE!BC806</f>
        <v>0</v>
      </c>
      <c r="Y107" s="6">
        <f>[1]BASE!BD806</f>
        <v>0</v>
      </c>
      <c r="Z107" s="6">
        <f>[1]BASE!BE806</f>
        <v>0</v>
      </c>
      <c r="AA107" s="6">
        <f>[1]BASE!BF806</f>
        <v>0</v>
      </c>
      <c r="AB107" s="6">
        <f>[1]BASE!BG806</f>
        <v>0</v>
      </c>
      <c r="AC107" s="6">
        <f>[1]BASE!BH806</f>
        <v>0</v>
      </c>
      <c r="AD107" s="6">
        <f>[1]BASE!BI806</f>
        <v>0</v>
      </c>
      <c r="AE107" s="6">
        <f>[1]BASE!BJ806</f>
        <v>0</v>
      </c>
      <c r="AF107" s="6">
        <f>[1]BASE!BK806</f>
        <v>0</v>
      </c>
      <c r="AG107" s="6">
        <f>[1]BASE!BL806</f>
        <v>0</v>
      </c>
      <c r="AH107" s="6">
        <f>[1]BASE!BM806</f>
        <v>0</v>
      </c>
      <c r="AI107" s="6">
        <f>[1]BASE!BN806</f>
        <v>0</v>
      </c>
      <c r="AJ107" s="6">
        <f>[1]BASE!BO806</f>
        <v>0</v>
      </c>
      <c r="AK107" s="6">
        <f>[1]BASE!BP806</f>
        <v>0</v>
      </c>
      <c r="AL107" s="6">
        <f>[1]BASE!BQ806</f>
        <v>0</v>
      </c>
      <c r="AM107" s="6">
        <f>[1]BASE!BR806</f>
        <v>0</v>
      </c>
      <c r="AN107" s="6">
        <f>[1]BASE!BS806</f>
        <v>0</v>
      </c>
      <c r="AO107" s="6">
        <f>[1]BASE!BT806</f>
        <v>0</v>
      </c>
      <c r="AP107" s="6">
        <f>[1]BASE!BU806</f>
        <v>12378022.201933023</v>
      </c>
      <c r="AQ107" s="6">
        <f>[1]BASE!BV806</f>
        <v>12628301.838136323</v>
      </c>
      <c r="AR107" s="6">
        <f>[1]BASE!BW806</f>
        <v>12858108.02724451</v>
      </c>
      <c r="AS107" s="6">
        <f>[1]BASE!BX806</f>
        <v>13078318.181403656</v>
      </c>
      <c r="AT107" s="9">
        <f t="shared" si="5"/>
        <v>0</v>
      </c>
      <c r="AU107" s="9">
        <f t="shared" si="6"/>
        <v>0</v>
      </c>
      <c r="AV107" s="9">
        <f t="shared" si="7"/>
        <v>50942750.248717517</v>
      </c>
    </row>
    <row r="108" spans="1:48" x14ac:dyDescent="0.35">
      <c r="A108" t="str">
        <f>[1]BASE!H815</f>
        <v>OTRAS OP DEDICADAS</v>
      </c>
      <c r="B108" t="str">
        <f>[1]BASE!I815</f>
        <v>Vestas</v>
      </c>
      <c r="C108">
        <f>[1]BASE!J815</f>
        <v>0</v>
      </c>
      <c r="D108" t="str">
        <f>[1]BASE!K815</f>
        <v>Parque Eólico</v>
      </c>
      <c r="E108" t="str">
        <f>[1]BASE!L815</f>
        <v xml:space="preserve">Vestas - Olavarría </v>
      </c>
      <c r="F108" t="str">
        <f>[1]BASE!M815</f>
        <v>VENTAS</v>
      </c>
      <c r="G108" t="str">
        <f>[1]BASE!N815</f>
        <v>ARS</v>
      </c>
      <c r="H108" t="str">
        <f>[1]BASE!CL815</f>
        <v>BAU bis</v>
      </c>
      <c r="J108" s="6">
        <f>[1]BASE!AO815</f>
        <v>0</v>
      </c>
      <c r="K108" s="6">
        <f>[1]BASE!AP815</f>
        <v>0</v>
      </c>
      <c r="L108" s="6">
        <f>[1]BASE!AQ815</f>
        <v>0</v>
      </c>
      <c r="M108" s="6">
        <f>[1]BASE!AR815</f>
        <v>0</v>
      </c>
      <c r="N108" s="6">
        <f>[1]BASE!AS815</f>
        <v>0</v>
      </c>
      <c r="O108" s="6">
        <f>[1]BASE!AT815</f>
        <v>0</v>
      </c>
      <c r="P108" s="6">
        <f>[1]BASE!AU815</f>
        <v>0</v>
      </c>
      <c r="Q108" s="6">
        <f>[1]BASE!AV815</f>
        <v>0</v>
      </c>
      <c r="R108" s="6">
        <f>[1]BASE!AW815</f>
        <v>0</v>
      </c>
      <c r="S108" s="6">
        <f>[1]BASE!AX815</f>
        <v>0</v>
      </c>
      <c r="T108" s="6">
        <f>[1]BASE!AY815</f>
        <v>0</v>
      </c>
      <c r="U108" s="6">
        <f>[1]BASE!AZ815</f>
        <v>0</v>
      </c>
      <c r="V108" s="6">
        <f>[1]BASE!BA815</f>
        <v>0</v>
      </c>
      <c r="W108" s="6">
        <f>[1]BASE!BB815</f>
        <v>0</v>
      </c>
      <c r="X108" s="6">
        <f>[1]BASE!BC815</f>
        <v>0</v>
      </c>
      <c r="Y108" s="6">
        <f>[1]BASE!BD815</f>
        <v>0</v>
      </c>
      <c r="Z108" s="6">
        <f>[1]BASE!BE815</f>
        <v>0</v>
      </c>
      <c r="AA108" s="6">
        <f>[1]BASE!BF815</f>
        <v>0</v>
      </c>
      <c r="AB108" s="6">
        <f>[1]BASE!BG815</f>
        <v>0</v>
      </c>
      <c r="AC108" s="6">
        <f>[1]BASE!BH815</f>
        <v>0</v>
      </c>
      <c r="AD108" s="6">
        <f>[1]BASE!BI815</f>
        <v>0</v>
      </c>
      <c r="AE108" s="6">
        <f>[1]BASE!BJ815</f>
        <v>0</v>
      </c>
      <c r="AF108" s="6">
        <f>[1]BASE!BK815</f>
        <v>0</v>
      </c>
      <c r="AG108" s="6">
        <f>[1]BASE!BL815</f>
        <v>0</v>
      </c>
      <c r="AH108" s="6">
        <f>[1]BASE!BM815</f>
        <v>0</v>
      </c>
      <c r="AI108" s="6">
        <f>[1]BASE!BN815</f>
        <v>0</v>
      </c>
      <c r="AJ108" s="6">
        <f>[1]BASE!BO815</f>
        <v>0</v>
      </c>
      <c r="AK108" s="6">
        <f>[1]BASE!BP815</f>
        <v>0</v>
      </c>
      <c r="AL108" s="6">
        <f>[1]BASE!BQ815</f>
        <v>9820033.008572489</v>
      </c>
      <c r="AM108" s="6">
        <f>[1]BASE!BR815</f>
        <v>19856106.743333571</v>
      </c>
      <c r="AN108" s="6">
        <f>[1]BASE!BS815</f>
        <v>31573471.537298456</v>
      </c>
      <c r="AO108" s="6">
        <f>[1]BASE!BT815</f>
        <v>43546215.767814621</v>
      </c>
      <c r="AP108" s="6">
        <f>[1]BASE!BU815</f>
        <v>44025224.141260572</v>
      </c>
      <c r="AQ108" s="6">
        <f>[1]BASE!BV815</f>
        <v>44509501.606814437</v>
      </c>
      <c r="AR108" s="6">
        <f>[1]BASE!BW815</f>
        <v>44999106.124489389</v>
      </c>
      <c r="AS108" s="6">
        <f>[1]BASE!BX815</f>
        <v>12168746.574210484</v>
      </c>
      <c r="AT108" s="9">
        <f t="shared" si="5"/>
        <v>0</v>
      </c>
      <c r="AU108" s="9">
        <f t="shared" si="6"/>
        <v>0</v>
      </c>
      <c r="AV108" s="9">
        <f t="shared" si="7"/>
        <v>250498405.50379404</v>
      </c>
    </row>
    <row r="109" spans="1:48" x14ac:dyDescent="0.35">
      <c r="A109" t="str">
        <f>[1]BASE!H821</f>
        <v>OTRAS OP DEDICADAS</v>
      </c>
      <c r="B109" t="str">
        <f>[1]BASE!I821</f>
        <v>Vestas</v>
      </c>
      <c r="C109">
        <f>[1]BASE!J821</f>
        <v>0</v>
      </c>
      <c r="D109" t="str">
        <f>[1]BASE!K821</f>
        <v>Parque Eólico</v>
      </c>
      <c r="E109" t="str">
        <f>[1]BASE!L821</f>
        <v>Vestas - Mataco III</v>
      </c>
      <c r="F109" t="str">
        <f>[1]BASE!M821</f>
        <v>VENTAS</v>
      </c>
      <c r="G109" t="str">
        <f>[1]BASE!N821</f>
        <v>ARS</v>
      </c>
      <c r="H109" t="str">
        <f>[1]BASE!CL821</f>
        <v>BAU bis</v>
      </c>
      <c r="J109" s="6">
        <f>[1]BASE!AO821</f>
        <v>0</v>
      </c>
      <c r="K109" s="6">
        <f>[1]BASE!AP821</f>
        <v>0</v>
      </c>
      <c r="L109" s="6">
        <f>[1]BASE!AQ821</f>
        <v>0</v>
      </c>
      <c r="M109" s="6">
        <f>[1]BASE!AR821</f>
        <v>0</v>
      </c>
      <c r="N109" s="6">
        <f>[1]BASE!AS821</f>
        <v>0</v>
      </c>
      <c r="O109" s="6">
        <f>[1]BASE!AT821</f>
        <v>0</v>
      </c>
      <c r="P109" s="6">
        <f>[1]BASE!AU821</f>
        <v>0</v>
      </c>
      <c r="Q109" s="6">
        <f>[1]BASE!AV821</f>
        <v>0</v>
      </c>
      <c r="R109" s="6">
        <f>[1]BASE!AW821</f>
        <v>0</v>
      </c>
      <c r="S109" s="6">
        <f>[1]BASE!AX821</f>
        <v>0</v>
      </c>
      <c r="T109" s="6">
        <f>[1]BASE!AY821</f>
        <v>0</v>
      </c>
      <c r="U109" s="6">
        <f>[1]BASE!AZ821</f>
        <v>0</v>
      </c>
      <c r="V109" s="6">
        <f>[1]BASE!BA821</f>
        <v>0</v>
      </c>
      <c r="W109" s="6">
        <f>[1]BASE!BB821</f>
        <v>0</v>
      </c>
      <c r="X109" s="6">
        <f>[1]BASE!BC821</f>
        <v>0</v>
      </c>
      <c r="Y109" s="6">
        <f>[1]BASE!BD821</f>
        <v>0</v>
      </c>
      <c r="Z109" s="6">
        <f>[1]BASE!BE821</f>
        <v>0</v>
      </c>
      <c r="AA109" s="6">
        <f>[1]BASE!BF821</f>
        <v>0</v>
      </c>
      <c r="AB109" s="6">
        <f>[1]BASE!BG821</f>
        <v>0</v>
      </c>
      <c r="AC109" s="6">
        <f>[1]BASE!BH821</f>
        <v>0</v>
      </c>
      <c r="AD109" s="6">
        <f>[1]BASE!BI821</f>
        <v>0</v>
      </c>
      <c r="AE109" s="6">
        <f>[1]BASE!BJ821</f>
        <v>0</v>
      </c>
      <c r="AF109" s="6">
        <f>[1]BASE!BK821</f>
        <v>0</v>
      </c>
      <c r="AG109" s="6">
        <f>[1]BASE!BL821</f>
        <v>0</v>
      </c>
      <c r="AH109" s="6">
        <f>[1]BASE!BM821</f>
        <v>0</v>
      </c>
      <c r="AI109" s="6">
        <f>[1]BASE!BN821</f>
        <v>0</v>
      </c>
      <c r="AJ109" s="6">
        <f>[1]BASE!BO821</f>
        <v>0</v>
      </c>
      <c r="AK109" s="6">
        <f>[1]BASE!BP821</f>
        <v>0</v>
      </c>
      <c r="AL109" s="6">
        <f>[1]BASE!BQ821</f>
        <v>19640066.017144978</v>
      </c>
      <c r="AM109" s="6">
        <f>[1]BASE!BR821</f>
        <v>42603793.31770248</v>
      </c>
      <c r="AN109" s="6">
        <f>[1]BASE!BS821</f>
        <v>11656175.177909173</v>
      </c>
      <c r="AO109" s="6">
        <f>[1]BASE!BT821</f>
        <v>0</v>
      </c>
      <c r="AP109" s="6">
        <f>[1]BASE!BU821</f>
        <v>0</v>
      </c>
      <c r="AQ109" s="6">
        <f>[1]BASE!BV821</f>
        <v>0</v>
      </c>
      <c r="AR109" s="6">
        <f>[1]BASE!BW821</f>
        <v>0</v>
      </c>
      <c r="AS109" s="6">
        <f>[1]BASE!BX821</f>
        <v>0</v>
      </c>
      <c r="AT109" s="9">
        <f t="shared" si="5"/>
        <v>0</v>
      </c>
      <c r="AU109" s="9">
        <f t="shared" si="6"/>
        <v>0</v>
      </c>
      <c r="AV109" s="9">
        <f t="shared" si="7"/>
        <v>73900034.512756631</v>
      </c>
    </row>
    <row r="110" spans="1:48" x14ac:dyDescent="0.35">
      <c r="A110" t="str">
        <f>[1]BASE!H827</f>
        <v>PETROLEO</v>
      </c>
      <c r="B110" t="str">
        <f>[1]BASE!I827</f>
        <v>Techint</v>
      </c>
      <c r="C110">
        <f>[1]BASE!J827</f>
        <v>0</v>
      </c>
      <c r="D110" t="str">
        <f>[1]BASE!K827</f>
        <v>FIJO</v>
      </c>
      <c r="E110" t="str">
        <f>[1]BASE!L827</f>
        <v xml:space="preserve">Gasoducto Southern Energy GNL </v>
      </c>
      <c r="F110" t="str">
        <f>[1]BASE!M827</f>
        <v>VENTAS</v>
      </c>
      <c r="G110" t="str">
        <f>[1]BASE!N827</f>
        <v>ARS</v>
      </c>
      <c r="H110" t="str">
        <f>[1]BASE!CL827</f>
        <v>NN</v>
      </c>
      <c r="J110" s="6">
        <f>[1]BASE!AO827</f>
        <v>0</v>
      </c>
      <c r="K110" s="6">
        <f>[1]BASE!AP827</f>
        <v>0</v>
      </c>
      <c r="L110" s="6">
        <f>[1]BASE!AQ827</f>
        <v>0</v>
      </c>
      <c r="M110" s="6">
        <f>[1]BASE!AR827</f>
        <v>0</v>
      </c>
      <c r="N110" s="6">
        <f>[1]BASE!AS827</f>
        <v>0</v>
      </c>
      <c r="O110" s="6">
        <f>[1]BASE!AT827</f>
        <v>0</v>
      </c>
      <c r="P110" s="6">
        <f>[1]BASE!AU827</f>
        <v>0</v>
      </c>
      <c r="Q110" s="6">
        <f>[1]BASE!AV827</f>
        <v>0</v>
      </c>
      <c r="R110" s="6">
        <f>[1]BASE!AW827</f>
        <v>0</v>
      </c>
      <c r="S110" s="6">
        <f>[1]BASE!AX827</f>
        <v>0</v>
      </c>
      <c r="T110" s="6">
        <f>[1]BASE!AY827</f>
        <v>0</v>
      </c>
      <c r="U110" s="6">
        <f>[1]BASE!AZ827</f>
        <v>0</v>
      </c>
      <c r="V110" s="6">
        <f>[1]BASE!BA827</f>
        <v>0</v>
      </c>
      <c r="W110" s="6">
        <f>[1]BASE!BB827</f>
        <v>0</v>
      </c>
      <c r="X110" s="6">
        <f>[1]BASE!BC827</f>
        <v>0</v>
      </c>
      <c r="Y110" s="6">
        <f>[1]BASE!BD827</f>
        <v>0</v>
      </c>
      <c r="Z110" s="6">
        <f>[1]BASE!BE827</f>
        <v>0</v>
      </c>
      <c r="AA110" s="6">
        <f>[1]BASE!BF827</f>
        <v>0</v>
      </c>
      <c r="AB110" s="6">
        <f>[1]BASE!BG827</f>
        <v>0</v>
      </c>
      <c r="AC110" s="6">
        <f>[1]BASE!BH827</f>
        <v>0</v>
      </c>
      <c r="AD110" s="6">
        <f>[1]BASE!BI827</f>
        <v>0</v>
      </c>
      <c r="AE110" s="6">
        <f>[1]BASE!BJ827</f>
        <v>0</v>
      </c>
      <c r="AF110" s="6">
        <f>[1]BASE!BK827</f>
        <v>0</v>
      </c>
      <c r="AG110" s="6">
        <f>[1]BASE!BL827</f>
        <v>0</v>
      </c>
      <c r="AH110" s="6">
        <f>[1]BASE!BM827</f>
        <v>0</v>
      </c>
      <c r="AI110" s="6">
        <f>[1]BASE!BN827</f>
        <v>0</v>
      </c>
      <c r="AJ110" s="6">
        <f>[1]BASE!BO827</f>
        <v>0</v>
      </c>
      <c r="AK110" s="6">
        <f>[1]BASE!BP827</f>
        <v>0</v>
      </c>
      <c r="AL110" s="6">
        <f>[1]BASE!BQ827</f>
        <v>0</v>
      </c>
      <c r="AM110" s="6">
        <f>[1]BASE!BR827</f>
        <v>0</v>
      </c>
      <c r="AN110" s="6">
        <f>[1]BASE!BS827</f>
        <v>0</v>
      </c>
      <c r="AO110" s="6">
        <f>[1]BASE!BT827</f>
        <v>35121334.791800186</v>
      </c>
      <c r="AP110" s="6">
        <f>[1]BASE!BU827</f>
        <v>35914386.902508482</v>
      </c>
      <c r="AQ110" s="6">
        <f>[1]BASE!BV827</f>
        <v>36644250.45854938</v>
      </c>
      <c r="AR110" s="6">
        <f>[1]BASE!BW827</f>
        <v>37314476.925693542</v>
      </c>
      <c r="AS110" s="6">
        <f>[1]BASE!BX827</f>
        <v>37947326.621817082</v>
      </c>
      <c r="AT110" s="9">
        <f t="shared" si="5"/>
        <v>0</v>
      </c>
      <c r="AU110" s="9">
        <f t="shared" si="6"/>
        <v>0</v>
      </c>
      <c r="AV110" s="9">
        <f t="shared" si="7"/>
        <v>182941775.70036867</v>
      </c>
    </row>
  </sheetData>
  <autoFilter ref="A5:AV5" xr:uid="{29BCFBC4-1A9A-4622-9D37-1E4DEF51B6F9}"/>
  <mergeCells count="3">
    <mergeCell ref="V4:AG4"/>
    <mergeCell ref="AH4:AS4"/>
    <mergeCell ref="J4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6623-AD00-46EA-A1F5-86697663D27D}">
  <dimension ref="A1:H105"/>
  <sheetViews>
    <sheetView tabSelected="1" workbookViewId="0">
      <selection activeCell="K13" sqref="K13"/>
    </sheetView>
  </sheetViews>
  <sheetFormatPr baseColWidth="10" defaultRowHeight="14.5" x14ac:dyDescent="0.35"/>
  <cols>
    <col min="1" max="1" width="27.81640625" customWidth="1"/>
    <col min="3" max="3" width="17.54296875" customWidth="1"/>
    <col min="4" max="5" width="13.54296875" customWidth="1"/>
    <col min="6" max="6" width="12.7265625" customWidth="1"/>
    <col min="8" max="8" width="16.08984375" customWidth="1"/>
  </cols>
  <sheetData>
    <row r="1" spans="1:8" x14ac:dyDescent="0.3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2" t="s">
        <v>0</v>
      </c>
    </row>
    <row r="2" spans="1:8" x14ac:dyDescent="0.35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</row>
    <row r="3" spans="1:8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20</v>
      </c>
      <c r="F3" s="4" t="s">
        <v>17</v>
      </c>
      <c r="G3" s="4" t="s">
        <v>18</v>
      </c>
      <c r="H3" s="4" t="s">
        <v>19</v>
      </c>
    </row>
    <row r="4" spans="1:8" x14ac:dyDescent="0.35">
      <c r="A4" s="4" t="s">
        <v>12</v>
      </c>
      <c r="B4" s="4" t="s">
        <v>13</v>
      </c>
      <c r="C4" s="4" t="s">
        <v>14</v>
      </c>
      <c r="D4" s="4" t="s">
        <v>15</v>
      </c>
      <c r="E4" s="4" t="s">
        <v>21</v>
      </c>
      <c r="F4" s="4" t="s">
        <v>17</v>
      </c>
      <c r="G4" s="4" t="s">
        <v>18</v>
      </c>
      <c r="H4" s="4" t="s">
        <v>19</v>
      </c>
    </row>
    <row r="5" spans="1:8" x14ac:dyDescent="0.35">
      <c r="A5" s="4" t="s">
        <v>22</v>
      </c>
      <c r="B5" s="4" t="s">
        <v>23</v>
      </c>
      <c r="C5" s="4">
        <v>0</v>
      </c>
      <c r="D5" s="4" t="s">
        <v>24</v>
      </c>
      <c r="E5" s="4" t="s">
        <v>25</v>
      </c>
      <c r="F5" s="4" t="s">
        <v>17</v>
      </c>
      <c r="G5" s="4" t="s">
        <v>18</v>
      </c>
      <c r="H5" s="4" t="s">
        <v>19</v>
      </c>
    </row>
    <row r="6" spans="1:8" x14ac:dyDescent="0.35">
      <c r="A6" s="4" t="s">
        <v>22</v>
      </c>
      <c r="B6" s="4" t="s">
        <v>23</v>
      </c>
      <c r="C6" s="4">
        <v>0</v>
      </c>
      <c r="D6" s="4" t="s">
        <v>24</v>
      </c>
      <c r="E6" s="4" t="s">
        <v>26</v>
      </c>
      <c r="F6" s="4" t="s">
        <v>17</v>
      </c>
      <c r="G6" s="4" t="s">
        <v>18</v>
      </c>
      <c r="H6" s="4" t="s">
        <v>19</v>
      </c>
    </row>
    <row r="7" spans="1:8" x14ac:dyDescent="0.35">
      <c r="A7" s="4" t="s">
        <v>27</v>
      </c>
      <c r="B7" s="4" t="s">
        <v>28</v>
      </c>
      <c r="C7" s="4">
        <v>0</v>
      </c>
      <c r="D7" s="4" t="s">
        <v>29</v>
      </c>
      <c r="E7" s="4" t="s">
        <v>28</v>
      </c>
      <c r="F7" s="4" t="s">
        <v>17</v>
      </c>
      <c r="G7" s="4" t="s">
        <v>18</v>
      </c>
      <c r="H7" s="4" t="s">
        <v>30</v>
      </c>
    </row>
    <row r="8" spans="1:8" x14ac:dyDescent="0.35">
      <c r="A8" s="4" t="s">
        <v>27</v>
      </c>
      <c r="B8" s="4" t="s">
        <v>31</v>
      </c>
      <c r="C8" s="4">
        <v>0</v>
      </c>
      <c r="D8" s="4" t="s">
        <v>32</v>
      </c>
      <c r="E8" s="4" t="s">
        <v>33</v>
      </c>
      <c r="F8" s="4" t="s">
        <v>17</v>
      </c>
      <c r="G8" s="4" t="s">
        <v>18</v>
      </c>
      <c r="H8" s="4" t="s">
        <v>19</v>
      </c>
    </row>
    <row r="9" spans="1:8" x14ac:dyDescent="0.35">
      <c r="A9" s="4" t="s">
        <v>27</v>
      </c>
      <c r="B9" s="4" t="s">
        <v>31</v>
      </c>
      <c r="C9" s="4">
        <v>0</v>
      </c>
      <c r="D9" s="4" t="s">
        <v>32</v>
      </c>
      <c r="E9" s="4" t="s">
        <v>34</v>
      </c>
      <c r="F9" s="4" t="s">
        <v>17</v>
      </c>
      <c r="G9" s="4" t="s">
        <v>18</v>
      </c>
      <c r="H9" s="4" t="s">
        <v>19</v>
      </c>
    </row>
    <row r="10" spans="1:8" x14ac:dyDescent="0.35">
      <c r="A10" s="4" t="s">
        <v>27</v>
      </c>
      <c r="B10" s="4" t="s">
        <v>31</v>
      </c>
      <c r="C10" s="4">
        <v>0</v>
      </c>
      <c r="D10" s="4" t="s">
        <v>32</v>
      </c>
      <c r="E10" s="4" t="s">
        <v>35</v>
      </c>
      <c r="F10" s="4" t="s">
        <v>17</v>
      </c>
      <c r="G10" s="4" t="s">
        <v>18</v>
      </c>
      <c r="H10" s="4" t="s">
        <v>19</v>
      </c>
    </row>
    <row r="11" spans="1:8" x14ac:dyDescent="0.35">
      <c r="A11" s="4" t="s">
        <v>27</v>
      </c>
      <c r="B11" s="4" t="s">
        <v>36</v>
      </c>
      <c r="C11" s="4">
        <v>0</v>
      </c>
      <c r="D11" s="4" t="s">
        <v>32</v>
      </c>
      <c r="E11" s="4" t="s">
        <v>37</v>
      </c>
      <c r="F11" s="4" t="s">
        <v>17</v>
      </c>
      <c r="G11" s="4" t="s">
        <v>18</v>
      </c>
      <c r="H11" s="4" t="s">
        <v>19</v>
      </c>
    </row>
    <row r="12" spans="1:8" x14ac:dyDescent="0.35">
      <c r="A12" s="4" t="s">
        <v>27</v>
      </c>
      <c r="B12" s="4" t="s">
        <v>36</v>
      </c>
      <c r="C12" s="4">
        <v>0</v>
      </c>
      <c r="D12" s="4" t="s">
        <v>32</v>
      </c>
      <c r="E12" s="4" t="s">
        <v>38</v>
      </c>
      <c r="F12" s="4" t="s">
        <v>17</v>
      </c>
      <c r="G12" s="4" t="s">
        <v>18</v>
      </c>
      <c r="H12" s="4" t="s">
        <v>19</v>
      </c>
    </row>
    <row r="13" spans="1:8" x14ac:dyDescent="0.35">
      <c r="A13" s="4" t="s">
        <v>27</v>
      </c>
      <c r="B13" s="4" t="s">
        <v>36</v>
      </c>
      <c r="C13" s="4">
        <v>0</v>
      </c>
      <c r="D13" s="4" t="s">
        <v>32</v>
      </c>
      <c r="E13" s="4" t="s">
        <v>39</v>
      </c>
      <c r="F13" s="4" t="s">
        <v>17</v>
      </c>
      <c r="G13" s="4" t="s">
        <v>18</v>
      </c>
      <c r="H13" s="4" t="s">
        <v>19</v>
      </c>
    </row>
    <row r="14" spans="1:8" x14ac:dyDescent="0.35">
      <c r="A14" s="4" t="s">
        <v>27</v>
      </c>
      <c r="B14" s="4" t="s">
        <v>36</v>
      </c>
      <c r="C14" s="4">
        <v>0</v>
      </c>
      <c r="D14" s="4" t="s">
        <v>32</v>
      </c>
      <c r="E14" s="4" t="s">
        <v>40</v>
      </c>
      <c r="F14" s="4" t="s">
        <v>17</v>
      </c>
      <c r="G14" s="4" t="s">
        <v>18</v>
      </c>
      <c r="H14" s="4" t="s">
        <v>19</v>
      </c>
    </row>
    <row r="15" spans="1:8" x14ac:dyDescent="0.35">
      <c r="A15" s="4" t="s">
        <v>27</v>
      </c>
      <c r="B15" s="4" t="s">
        <v>36</v>
      </c>
      <c r="C15" s="4">
        <v>0</v>
      </c>
      <c r="D15" s="4" t="s">
        <v>41</v>
      </c>
      <c r="E15" s="4" t="s">
        <v>42</v>
      </c>
      <c r="F15" s="4" t="s">
        <v>17</v>
      </c>
      <c r="G15" s="4" t="s">
        <v>18</v>
      </c>
      <c r="H15" s="4" t="s">
        <v>19</v>
      </c>
    </row>
    <row r="16" spans="1:8" x14ac:dyDescent="0.35">
      <c r="A16" s="4" t="s">
        <v>27</v>
      </c>
      <c r="B16" s="4" t="s">
        <v>43</v>
      </c>
      <c r="C16" s="4">
        <v>0</v>
      </c>
      <c r="D16" s="4" t="s">
        <v>29</v>
      </c>
      <c r="E16" s="4" t="s">
        <v>44</v>
      </c>
      <c r="F16" s="4" t="s">
        <v>17</v>
      </c>
      <c r="G16" s="4" t="s">
        <v>18</v>
      </c>
      <c r="H16" s="4" t="s">
        <v>19</v>
      </c>
    </row>
    <row r="17" spans="1:8" x14ac:dyDescent="0.35">
      <c r="A17" s="4" t="s">
        <v>27</v>
      </c>
      <c r="B17" s="4" t="s">
        <v>43</v>
      </c>
      <c r="C17" s="4">
        <v>0</v>
      </c>
      <c r="D17" s="4" t="s">
        <v>29</v>
      </c>
      <c r="E17" s="4" t="s">
        <v>45</v>
      </c>
      <c r="F17" s="4" t="s">
        <v>17</v>
      </c>
      <c r="G17" s="4" t="s">
        <v>18</v>
      </c>
      <c r="H17" s="4" t="s">
        <v>19</v>
      </c>
    </row>
    <row r="18" spans="1:8" x14ac:dyDescent="0.35">
      <c r="A18" s="4" t="s">
        <v>27</v>
      </c>
      <c r="B18" s="4" t="s">
        <v>43</v>
      </c>
      <c r="C18" s="4">
        <v>0</v>
      </c>
      <c r="D18" s="4" t="s">
        <v>41</v>
      </c>
      <c r="E18" s="4" t="s">
        <v>46</v>
      </c>
      <c r="F18" s="4" t="s">
        <v>17</v>
      </c>
      <c r="G18" s="4" t="s">
        <v>18</v>
      </c>
      <c r="H18" s="4" t="s">
        <v>19</v>
      </c>
    </row>
    <row r="19" spans="1:8" x14ac:dyDescent="0.35">
      <c r="A19" s="4" t="s">
        <v>27</v>
      </c>
      <c r="B19" s="4" t="s">
        <v>43</v>
      </c>
      <c r="C19" s="4">
        <v>0</v>
      </c>
      <c r="D19" s="4" t="s">
        <v>47</v>
      </c>
      <c r="E19" s="4" t="s">
        <v>47</v>
      </c>
      <c r="F19" s="4" t="s">
        <v>17</v>
      </c>
      <c r="G19" s="4" t="s">
        <v>18</v>
      </c>
      <c r="H19" s="4" t="s">
        <v>19</v>
      </c>
    </row>
    <row r="20" spans="1:8" x14ac:dyDescent="0.35">
      <c r="A20" s="4" t="s">
        <v>27</v>
      </c>
      <c r="B20" s="4" t="s">
        <v>43</v>
      </c>
      <c r="C20" s="4">
        <v>0</v>
      </c>
      <c r="D20" s="4" t="s">
        <v>29</v>
      </c>
      <c r="E20" s="4" t="s">
        <v>48</v>
      </c>
      <c r="F20" s="4" t="s">
        <v>17</v>
      </c>
      <c r="G20" s="4" t="s">
        <v>18</v>
      </c>
      <c r="H20" s="4" t="s">
        <v>19</v>
      </c>
    </row>
    <row r="21" spans="1:8" x14ac:dyDescent="0.35">
      <c r="A21" s="4" t="s">
        <v>27</v>
      </c>
      <c r="B21" s="4" t="s">
        <v>43</v>
      </c>
      <c r="C21" s="4">
        <v>0</v>
      </c>
      <c r="D21" s="4" t="s">
        <v>49</v>
      </c>
      <c r="E21" s="4" t="s">
        <v>50</v>
      </c>
      <c r="F21" s="4" t="s">
        <v>17</v>
      </c>
      <c r="G21" s="4" t="s">
        <v>18</v>
      </c>
      <c r="H21" s="4" t="s">
        <v>30</v>
      </c>
    </row>
    <row r="22" spans="1:8" x14ac:dyDescent="0.35">
      <c r="A22" s="4" t="s">
        <v>27</v>
      </c>
      <c r="B22" s="4" t="s">
        <v>43</v>
      </c>
      <c r="C22" s="4">
        <v>0</v>
      </c>
      <c r="D22" s="4" t="s">
        <v>32</v>
      </c>
      <c r="E22" s="4" t="s">
        <v>51</v>
      </c>
      <c r="F22" s="4" t="s">
        <v>17</v>
      </c>
      <c r="G22" s="4" t="s">
        <v>18</v>
      </c>
      <c r="H22" s="4" t="s">
        <v>19</v>
      </c>
    </row>
    <row r="23" spans="1:8" x14ac:dyDescent="0.35">
      <c r="A23" s="4" t="s">
        <v>27</v>
      </c>
      <c r="B23" s="4" t="s">
        <v>43</v>
      </c>
      <c r="C23" s="4">
        <v>0</v>
      </c>
      <c r="D23" s="4" t="s">
        <v>32</v>
      </c>
      <c r="E23" s="4" t="s">
        <v>52</v>
      </c>
      <c r="F23" s="4" t="s">
        <v>17</v>
      </c>
      <c r="G23" s="4" t="s">
        <v>18</v>
      </c>
      <c r="H23" s="4" t="s">
        <v>19</v>
      </c>
    </row>
    <row r="24" spans="1:8" x14ac:dyDescent="0.35">
      <c r="A24" s="4" t="s">
        <v>27</v>
      </c>
      <c r="B24" s="4" t="s">
        <v>43</v>
      </c>
      <c r="C24" s="4">
        <v>0</v>
      </c>
      <c r="D24" s="4" t="s">
        <v>32</v>
      </c>
      <c r="E24" s="4" t="s">
        <v>53</v>
      </c>
      <c r="F24" s="4" t="s">
        <v>17</v>
      </c>
      <c r="G24" s="4" t="s">
        <v>18</v>
      </c>
      <c r="H24" s="4" t="s">
        <v>19</v>
      </c>
    </row>
    <row r="25" spans="1:8" x14ac:dyDescent="0.35">
      <c r="A25" s="4" t="s">
        <v>27</v>
      </c>
      <c r="B25" s="4" t="s">
        <v>43</v>
      </c>
      <c r="C25" s="4">
        <v>0</v>
      </c>
      <c r="D25" s="4" t="s">
        <v>32</v>
      </c>
      <c r="E25" s="4" t="s">
        <v>54</v>
      </c>
      <c r="F25" s="4" t="s">
        <v>17</v>
      </c>
      <c r="G25" s="4" t="s">
        <v>18</v>
      </c>
      <c r="H25" s="4" t="s">
        <v>19</v>
      </c>
    </row>
    <row r="26" spans="1:8" x14ac:dyDescent="0.35">
      <c r="A26" s="4" t="s">
        <v>27</v>
      </c>
      <c r="B26" s="4" t="s">
        <v>31</v>
      </c>
      <c r="C26" s="4">
        <v>0</v>
      </c>
      <c r="D26" s="4" t="s">
        <v>32</v>
      </c>
      <c r="E26" s="4" t="s">
        <v>55</v>
      </c>
      <c r="F26" s="4" t="s">
        <v>17</v>
      </c>
      <c r="G26" s="4" t="s">
        <v>18</v>
      </c>
      <c r="H26" s="4" t="s">
        <v>19</v>
      </c>
    </row>
    <row r="27" spans="1:8" x14ac:dyDescent="0.35">
      <c r="A27" s="4" t="s">
        <v>27</v>
      </c>
      <c r="B27" s="4" t="s">
        <v>56</v>
      </c>
      <c r="C27" s="4">
        <v>0</v>
      </c>
      <c r="D27" s="4" t="s">
        <v>41</v>
      </c>
      <c r="E27" s="4" t="s">
        <v>57</v>
      </c>
      <c r="F27" s="4" t="s">
        <v>17</v>
      </c>
      <c r="G27" s="4" t="s">
        <v>18</v>
      </c>
      <c r="H27" s="4" t="s">
        <v>19</v>
      </c>
    </row>
    <row r="28" spans="1:8" x14ac:dyDescent="0.35">
      <c r="A28" s="4" t="s">
        <v>27</v>
      </c>
      <c r="B28" s="4" t="s">
        <v>43</v>
      </c>
      <c r="C28" s="4">
        <v>0</v>
      </c>
      <c r="D28" s="4" t="s">
        <v>41</v>
      </c>
      <c r="E28" s="4" t="s">
        <v>58</v>
      </c>
      <c r="F28" s="4" t="s">
        <v>17</v>
      </c>
      <c r="G28" s="4" t="s">
        <v>18</v>
      </c>
      <c r="H28" s="4" t="s">
        <v>19</v>
      </c>
    </row>
    <row r="29" spans="1:8" x14ac:dyDescent="0.35">
      <c r="A29" s="4" t="s">
        <v>27</v>
      </c>
      <c r="B29" s="4" t="s">
        <v>43</v>
      </c>
      <c r="C29" s="4">
        <v>0</v>
      </c>
      <c r="D29" s="4" t="s">
        <v>41</v>
      </c>
      <c r="E29" s="4" t="s">
        <v>59</v>
      </c>
      <c r="F29" s="4" t="s">
        <v>17</v>
      </c>
      <c r="G29" s="4" t="s">
        <v>18</v>
      </c>
      <c r="H29" s="4" t="s">
        <v>19</v>
      </c>
    </row>
    <row r="30" spans="1:8" x14ac:dyDescent="0.35">
      <c r="A30" s="4" t="s">
        <v>27</v>
      </c>
      <c r="B30" s="4" t="s">
        <v>43</v>
      </c>
      <c r="C30" s="4">
        <v>0</v>
      </c>
      <c r="D30" s="4" t="s">
        <v>32</v>
      </c>
      <c r="E30" s="4" t="s">
        <v>60</v>
      </c>
      <c r="F30" s="4" t="s">
        <v>17</v>
      </c>
      <c r="G30" s="4" t="s">
        <v>18</v>
      </c>
      <c r="H30" s="4" t="s">
        <v>19</v>
      </c>
    </row>
    <row r="31" spans="1:8" x14ac:dyDescent="0.35">
      <c r="A31" s="4" t="s">
        <v>27</v>
      </c>
      <c r="B31" s="4" t="s">
        <v>43</v>
      </c>
      <c r="C31" s="4">
        <v>0</v>
      </c>
      <c r="D31" s="4" t="s">
        <v>41</v>
      </c>
      <c r="E31" s="4" t="s">
        <v>61</v>
      </c>
      <c r="F31" s="4" t="s">
        <v>17</v>
      </c>
      <c r="G31" s="4" t="s">
        <v>18</v>
      </c>
      <c r="H31" s="4" t="s">
        <v>19</v>
      </c>
    </row>
    <row r="32" spans="1:8" x14ac:dyDescent="0.35">
      <c r="A32" s="4" t="s">
        <v>27</v>
      </c>
      <c r="B32" s="4" t="s">
        <v>43</v>
      </c>
      <c r="C32" s="4">
        <v>0</v>
      </c>
      <c r="D32" s="4" t="s">
        <v>32</v>
      </c>
      <c r="E32" s="4" t="s">
        <v>62</v>
      </c>
      <c r="F32" s="4" t="s">
        <v>17</v>
      </c>
      <c r="G32" s="4" t="s">
        <v>18</v>
      </c>
      <c r="H32" s="4" t="s">
        <v>19</v>
      </c>
    </row>
    <row r="33" spans="1:8" x14ac:dyDescent="0.35">
      <c r="A33" s="4" t="s">
        <v>27</v>
      </c>
      <c r="B33" s="4" t="s">
        <v>43</v>
      </c>
      <c r="C33" s="4">
        <v>0</v>
      </c>
      <c r="D33" s="4" t="s">
        <v>32</v>
      </c>
      <c r="E33" s="4" t="s">
        <v>63</v>
      </c>
      <c r="F33" s="4" t="s">
        <v>17</v>
      </c>
      <c r="G33" s="4" t="s">
        <v>18</v>
      </c>
      <c r="H33" s="4" t="s">
        <v>19</v>
      </c>
    </row>
    <row r="34" spans="1:8" x14ac:dyDescent="0.35">
      <c r="A34" s="4" t="s">
        <v>27</v>
      </c>
      <c r="B34" s="4" t="s">
        <v>43</v>
      </c>
      <c r="C34" s="4">
        <v>0</v>
      </c>
      <c r="D34" s="4" t="s">
        <v>32</v>
      </c>
      <c r="E34" s="4" t="s">
        <v>64</v>
      </c>
      <c r="F34" s="4" t="s">
        <v>17</v>
      </c>
      <c r="G34" s="4" t="s">
        <v>18</v>
      </c>
      <c r="H34" s="4" t="s">
        <v>19</v>
      </c>
    </row>
    <row r="35" spans="1:8" x14ac:dyDescent="0.35">
      <c r="A35" s="4" t="s">
        <v>27</v>
      </c>
      <c r="B35" s="4" t="s">
        <v>43</v>
      </c>
      <c r="C35" s="4">
        <v>0</v>
      </c>
      <c r="D35" s="4" t="s">
        <v>41</v>
      </c>
      <c r="E35" s="4" t="s">
        <v>65</v>
      </c>
      <c r="F35" s="4" t="s">
        <v>17</v>
      </c>
      <c r="G35" s="4" t="s">
        <v>18</v>
      </c>
      <c r="H35" s="4" t="s">
        <v>19</v>
      </c>
    </row>
    <row r="36" spans="1:8" x14ac:dyDescent="0.35">
      <c r="A36" s="4" t="s">
        <v>27</v>
      </c>
      <c r="B36" s="4" t="s">
        <v>43</v>
      </c>
      <c r="C36" s="4">
        <v>0</v>
      </c>
      <c r="D36" s="4" t="s">
        <v>32</v>
      </c>
      <c r="E36" s="4" t="s">
        <v>66</v>
      </c>
      <c r="F36" s="4" t="s">
        <v>17</v>
      </c>
      <c r="G36" s="4" t="s">
        <v>18</v>
      </c>
      <c r="H36" s="4" t="s">
        <v>19</v>
      </c>
    </row>
    <row r="37" spans="1:8" x14ac:dyDescent="0.35">
      <c r="A37" s="4" t="s">
        <v>27</v>
      </c>
      <c r="B37" s="4" t="s">
        <v>43</v>
      </c>
      <c r="C37" s="4">
        <v>0</v>
      </c>
      <c r="D37" s="4" t="s">
        <v>32</v>
      </c>
      <c r="E37" s="4" t="s">
        <v>67</v>
      </c>
      <c r="F37" s="4" t="s">
        <v>17</v>
      </c>
      <c r="G37" s="4" t="s">
        <v>18</v>
      </c>
      <c r="H37" s="4" t="s">
        <v>19</v>
      </c>
    </row>
    <row r="38" spans="1:8" x14ac:dyDescent="0.35">
      <c r="A38" s="4" t="s">
        <v>27</v>
      </c>
      <c r="B38" s="4" t="s">
        <v>43</v>
      </c>
      <c r="C38" s="4">
        <v>0</v>
      </c>
      <c r="D38" s="4" t="s">
        <v>41</v>
      </c>
      <c r="E38" s="4" t="s">
        <v>68</v>
      </c>
      <c r="F38" s="4" t="s">
        <v>17</v>
      </c>
      <c r="G38" s="4" t="s">
        <v>18</v>
      </c>
      <c r="H38" s="4" t="s">
        <v>19</v>
      </c>
    </row>
    <row r="39" spans="1:8" x14ac:dyDescent="0.35">
      <c r="A39" s="4" t="s">
        <v>27</v>
      </c>
      <c r="B39" s="4" t="s">
        <v>43</v>
      </c>
      <c r="C39" s="4">
        <v>0</v>
      </c>
      <c r="D39" s="4" t="s">
        <v>32</v>
      </c>
      <c r="E39" s="4" t="s">
        <v>69</v>
      </c>
      <c r="F39" s="4" t="s">
        <v>17</v>
      </c>
      <c r="G39" s="4" t="s">
        <v>18</v>
      </c>
      <c r="H39" s="4" t="s">
        <v>19</v>
      </c>
    </row>
    <row r="40" spans="1:8" x14ac:dyDescent="0.35">
      <c r="A40" s="4" t="s">
        <v>27</v>
      </c>
      <c r="B40" s="4" t="s">
        <v>70</v>
      </c>
      <c r="C40" s="4">
        <v>0</v>
      </c>
      <c r="D40" s="4" t="s">
        <v>32</v>
      </c>
      <c r="E40" s="4" t="s">
        <v>70</v>
      </c>
      <c r="F40" s="4" t="s">
        <v>17</v>
      </c>
      <c r="G40" s="4" t="s">
        <v>18</v>
      </c>
      <c r="H40" s="4" t="s">
        <v>19</v>
      </c>
    </row>
    <row r="41" spans="1:8" x14ac:dyDescent="0.35">
      <c r="A41" s="4" t="s">
        <v>12</v>
      </c>
      <c r="B41" s="4" t="s">
        <v>71</v>
      </c>
      <c r="C41" s="4">
        <v>0</v>
      </c>
      <c r="D41" s="4" t="s">
        <v>15</v>
      </c>
      <c r="E41" s="4" t="s">
        <v>72</v>
      </c>
      <c r="F41" s="4" t="s">
        <v>17</v>
      </c>
      <c r="G41" s="4" t="s">
        <v>18</v>
      </c>
      <c r="H41" s="4" t="s">
        <v>73</v>
      </c>
    </row>
    <row r="42" spans="1:8" x14ac:dyDescent="0.35">
      <c r="A42" s="4" t="s">
        <v>27</v>
      </c>
      <c r="B42" s="4" t="s">
        <v>74</v>
      </c>
      <c r="C42" s="4">
        <v>0</v>
      </c>
      <c r="D42" s="4" t="s">
        <v>29</v>
      </c>
      <c r="E42" s="4" t="s">
        <v>74</v>
      </c>
      <c r="F42" s="4" t="s">
        <v>17</v>
      </c>
      <c r="G42" s="4" t="s">
        <v>18</v>
      </c>
      <c r="H42" s="4" t="s">
        <v>19</v>
      </c>
    </row>
    <row r="43" spans="1:8" x14ac:dyDescent="0.35">
      <c r="A43" s="4" t="s">
        <v>27</v>
      </c>
      <c r="B43" s="4" t="s">
        <v>75</v>
      </c>
      <c r="C43" s="4">
        <v>0</v>
      </c>
      <c r="D43" s="4" t="s">
        <v>49</v>
      </c>
      <c r="E43" s="4" t="s">
        <v>75</v>
      </c>
      <c r="F43" s="4" t="s">
        <v>17</v>
      </c>
      <c r="G43" s="4" t="s">
        <v>18</v>
      </c>
      <c r="H43" s="4" t="s">
        <v>76</v>
      </c>
    </row>
    <row r="44" spans="1:8" x14ac:dyDescent="0.35">
      <c r="A44" s="4" t="s">
        <v>12</v>
      </c>
      <c r="B44" s="4" t="s">
        <v>13</v>
      </c>
      <c r="C44" s="4" t="s">
        <v>14</v>
      </c>
      <c r="D44" s="4" t="s">
        <v>15</v>
      </c>
      <c r="E44" s="4" t="s">
        <v>77</v>
      </c>
      <c r="F44" s="4" t="s">
        <v>17</v>
      </c>
      <c r="G44" s="4" t="s">
        <v>18</v>
      </c>
      <c r="H44" s="4" t="s">
        <v>19</v>
      </c>
    </row>
    <row r="45" spans="1:8" x14ac:dyDescent="0.35">
      <c r="A45" s="4" t="s">
        <v>22</v>
      </c>
      <c r="B45" s="4" t="s">
        <v>78</v>
      </c>
      <c r="C45" s="4">
        <v>0</v>
      </c>
      <c r="D45" s="4" t="s">
        <v>29</v>
      </c>
      <c r="E45" s="4" t="s">
        <v>79</v>
      </c>
      <c r="F45" s="4" t="s">
        <v>17</v>
      </c>
      <c r="G45" s="4" t="s">
        <v>18</v>
      </c>
      <c r="H45" s="4" t="s">
        <v>19</v>
      </c>
    </row>
    <row r="46" spans="1:8" x14ac:dyDescent="0.35">
      <c r="A46" s="4" t="s">
        <v>12</v>
      </c>
      <c r="B46" s="4" t="s">
        <v>80</v>
      </c>
      <c r="C46" s="4">
        <v>0</v>
      </c>
      <c r="D46" s="4" t="s">
        <v>29</v>
      </c>
      <c r="E46" s="4" t="s">
        <v>81</v>
      </c>
      <c r="F46" s="4" t="s">
        <v>17</v>
      </c>
      <c r="G46" s="4" t="s">
        <v>18</v>
      </c>
      <c r="H46" s="4" t="s">
        <v>30</v>
      </c>
    </row>
    <row r="47" spans="1:8" x14ac:dyDescent="0.35">
      <c r="A47" s="4" t="s">
        <v>27</v>
      </c>
      <c r="B47" s="4" t="s">
        <v>82</v>
      </c>
      <c r="C47" s="4">
        <v>0</v>
      </c>
      <c r="D47" s="4" t="s">
        <v>49</v>
      </c>
      <c r="E47" s="4" t="s">
        <v>82</v>
      </c>
      <c r="F47" s="4" t="s">
        <v>17</v>
      </c>
      <c r="G47" s="4" t="s">
        <v>18</v>
      </c>
      <c r="H47" s="4" t="s">
        <v>76</v>
      </c>
    </row>
    <row r="48" spans="1:8" x14ac:dyDescent="0.35">
      <c r="A48" s="4" t="s">
        <v>27</v>
      </c>
      <c r="B48" s="4" t="s">
        <v>83</v>
      </c>
      <c r="C48" s="4">
        <v>0</v>
      </c>
      <c r="D48" s="4" t="s">
        <v>32</v>
      </c>
      <c r="E48" s="4" t="s">
        <v>83</v>
      </c>
      <c r="F48" s="4" t="s">
        <v>17</v>
      </c>
      <c r="G48" s="4" t="s">
        <v>18</v>
      </c>
      <c r="H48" s="4" t="s">
        <v>19</v>
      </c>
    </row>
    <row r="49" spans="1:8" x14ac:dyDescent="0.35">
      <c r="A49" s="4" t="s">
        <v>27</v>
      </c>
      <c r="B49" s="4" t="s">
        <v>84</v>
      </c>
      <c r="C49" s="4">
        <v>0</v>
      </c>
      <c r="D49" s="4" t="s">
        <v>32</v>
      </c>
      <c r="E49" s="4" t="s">
        <v>84</v>
      </c>
      <c r="F49" s="4" t="s">
        <v>17</v>
      </c>
      <c r="G49" s="4" t="s">
        <v>18</v>
      </c>
      <c r="H49" s="4" t="s">
        <v>30</v>
      </c>
    </row>
    <row r="50" spans="1:8" x14ac:dyDescent="0.35">
      <c r="A50" s="4" t="s">
        <v>12</v>
      </c>
      <c r="B50" s="4" t="s">
        <v>85</v>
      </c>
      <c r="C50" s="4">
        <v>0</v>
      </c>
      <c r="D50" s="4" t="s">
        <v>32</v>
      </c>
      <c r="E50" s="4" t="s">
        <v>86</v>
      </c>
      <c r="F50" s="4" t="s">
        <v>17</v>
      </c>
      <c r="G50" s="4" t="s">
        <v>18</v>
      </c>
      <c r="H50" s="4" t="s">
        <v>30</v>
      </c>
    </row>
    <row r="51" spans="1:8" x14ac:dyDescent="0.35">
      <c r="A51" s="4" t="s">
        <v>12</v>
      </c>
      <c r="B51" s="4" t="s">
        <v>87</v>
      </c>
      <c r="C51" s="4">
        <v>0</v>
      </c>
      <c r="D51" s="4" t="s">
        <v>32</v>
      </c>
      <c r="E51" s="4" t="s">
        <v>88</v>
      </c>
      <c r="F51" s="4" t="s">
        <v>17</v>
      </c>
      <c r="G51" s="4" t="s">
        <v>18</v>
      </c>
      <c r="H51" s="4" t="s">
        <v>19</v>
      </c>
    </row>
    <row r="52" spans="1:8" x14ac:dyDescent="0.35">
      <c r="A52" s="4" t="s">
        <v>27</v>
      </c>
      <c r="B52" s="4" t="s">
        <v>89</v>
      </c>
      <c r="C52" s="4">
        <v>0</v>
      </c>
      <c r="D52" s="4" t="s">
        <v>32</v>
      </c>
      <c r="E52" s="4" t="s">
        <v>89</v>
      </c>
      <c r="F52" s="4" t="s">
        <v>17</v>
      </c>
      <c r="G52" s="4" t="s">
        <v>18</v>
      </c>
      <c r="H52" s="4" t="s">
        <v>19</v>
      </c>
    </row>
    <row r="53" spans="1:8" x14ac:dyDescent="0.35">
      <c r="A53" s="4" t="s">
        <v>22</v>
      </c>
      <c r="B53" s="4" t="s">
        <v>23</v>
      </c>
      <c r="C53" s="4">
        <v>0</v>
      </c>
      <c r="D53" s="4" t="s">
        <v>24</v>
      </c>
      <c r="E53" s="4" t="s">
        <v>90</v>
      </c>
      <c r="F53" s="4" t="s">
        <v>17</v>
      </c>
      <c r="G53" s="4" t="s">
        <v>18</v>
      </c>
      <c r="H53" s="4" t="s">
        <v>19</v>
      </c>
    </row>
    <row r="54" spans="1:8" x14ac:dyDescent="0.35">
      <c r="A54" s="4" t="s">
        <v>12</v>
      </c>
      <c r="B54" s="4" t="s">
        <v>71</v>
      </c>
      <c r="C54" s="4">
        <v>0</v>
      </c>
      <c r="D54" s="4" t="s">
        <v>15</v>
      </c>
      <c r="E54" s="4" t="s">
        <v>91</v>
      </c>
      <c r="F54" s="4" t="s">
        <v>17</v>
      </c>
      <c r="G54" s="4" t="s">
        <v>18</v>
      </c>
      <c r="H54" s="4" t="s">
        <v>19</v>
      </c>
    </row>
    <row r="55" spans="1:8" x14ac:dyDescent="0.35">
      <c r="A55" t="s">
        <v>22</v>
      </c>
      <c r="B55" t="s">
        <v>78</v>
      </c>
      <c r="C55">
        <v>0</v>
      </c>
      <c r="D55" t="s">
        <v>29</v>
      </c>
      <c r="E55" t="s">
        <v>92</v>
      </c>
      <c r="F55" t="s">
        <v>17</v>
      </c>
      <c r="G55" t="s">
        <v>18</v>
      </c>
      <c r="H55" t="s">
        <v>19</v>
      </c>
    </row>
    <row r="56" spans="1:8" x14ac:dyDescent="0.35">
      <c r="A56" t="s">
        <v>22</v>
      </c>
      <c r="B56" t="s">
        <v>78</v>
      </c>
      <c r="C56">
        <v>0</v>
      </c>
      <c r="D56" t="s">
        <v>29</v>
      </c>
      <c r="E56" t="s">
        <v>93</v>
      </c>
      <c r="F56" t="s">
        <v>17</v>
      </c>
      <c r="G56" t="s">
        <v>18</v>
      </c>
      <c r="H56" t="s">
        <v>19</v>
      </c>
    </row>
    <row r="57" spans="1:8" x14ac:dyDescent="0.35">
      <c r="A57" t="s">
        <v>12</v>
      </c>
      <c r="B57" t="s">
        <v>94</v>
      </c>
      <c r="C57">
        <v>0</v>
      </c>
      <c r="D57" t="s">
        <v>29</v>
      </c>
      <c r="E57" t="s">
        <v>95</v>
      </c>
      <c r="F57" t="s">
        <v>17</v>
      </c>
      <c r="G57" t="s">
        <v>18</v>
      </c>
      <c r="H57" t="s">
        <v>19</v>
      </c>
    </row>
    <row r="58" spans="1:8" x14ac:dyDescent="0.35">
      <c r="A58" t="s">
        <v>27</v>
      </c>
      <c r="B58" t="s">
        <v>96</v>
      </c>
      <c r="C58">
        <v>0</v>
      </c>
      <c r="D58">
        <v>0</v>
      </c>
      <c r="E58" t="s">
        <v>97</v>
      </c>
      <c r="F58" t="s">
        <v>17</v>
      </c>
      <c r="G58" t="s">
        <v>18</v>
      </c>
      <c r="H58" t="s">
        <v>30</v>
      </c>
    </row>
    <row r="59" spans="1:8" x14ac:dyDescent="0.35">
      <c r="A59" t="s">
        <v>12</v>
      </c>
      <c r="B59" t="s">
        <v>71</v>
      </c>
      <c r="C59">
        <v>0</v>
      </c>
      <c r="D59" t="s">
        <v>15</v>
      </c>
      <c r="E59" t="s">
        <v>98</v>
      </c>
      <c r="F59" t="s">
        <v>17</v>
      </c>
      <c r="G59" t="s">
        <v>18</v>
      </c>
      <c r="H59" t="s">
        <v>19</v>
      </c>
    </row>
    <row r="60" spans="1:8" x14ac:dyDescent="0.35">
      <c r="A60" t="s">
        <v>22</v>
      </c>
      <c r="B60" t="s">
        <v>23</v>
      </c>
      <c r="C60">
        <v>0</v>
      </c>
      <c r="D60" t="s">
        <v>24</v>
      </c>
      <c r="E60" t="s">
        <v>99</v>
      </c>
      <c r="F60" t="s">
        <v>17</v>
      </c>
      <c r="G60" t="s">
        <v>18</v>
      </c>
      <c r="H60" t="s">
        <v>30</v>
      </c>
    </row>
    <row r="61" spans="1:8" x14ac:dyDescent="0.35">
      <c r="A61" t="s">
        <v>22</v>
      </c>
      <c r="B61" t="s">
        <v>100</v>
      </c>
      <c r="C61">
        <v>0</v>
      </c>
      <c r="D61" t="s">
        <v>29</v>
      </c>
      <c r="E61" t="s">
        <v>100</v>
      </c>
      <c r="F61" t="s">
        <v>17</v>
      </c>
      <c r="G61" t="s">
        <v>18</v>
      </c>
      <c r="H61" t="s">
        <v>73</v>
      </c>
    </row>
    <row r="62" spans="1:8" x14ac:dyDescent="0.35">
      <c r="A62" t="s">
        <v>12</v>
      </c>
      <c r="B62" t="s">
        <v>85</v>
      </c>
      <c r="C62">
        <v>0</v>
      </c>
      <c r="D62" t="s">
        <v>32</v>
      </c>
      <c r="E62" t="s">
        <v>101</v>
      </c>
      <c r="F62" t="s">
        <v>17</v>
      </c>
      <c r="G62" t="s">
        <v>18</v>
      </c>
      <c r="H62" t="s">
        <v>30</v>
      </c>
    </row>
    <row r="63" spans="1:8" x14ac:dyDescent="0.35">
      <c r="A63" t="s">
        <v>12</v>
      </c>
      <c r="B63" t="s">
        <v>102</v>
      </c>
      <c r="C63">
        <v>0</v>
      </c>
      <c r="D63" t="s">
        <v>32</v>
      </c>
      <c r="E63" t="s">
        <v>102</v>
      </c>
      <c r="F63" t="s">
        <v>17</v>
      </c>
      <c r="G63" t="s">
        <v>18</v>
      </c>
      <c r="H63" t="s">
        <v>30</v>
      </c>
    </row>
    <row r="64" spans="1:8" x14ac:dyDescent="0.35">
      <c r="A64" t="s">
        <v>12</v>
      </c>
      <c r="B64" t="s">
        <v>103</v>
      </c>
      <c r="C64">
        <v>0</v>
      </c>
      <c r="D64" t="s">
        <v>32</v>
      </c>
      <c r="E64" t="s">
        <v>104</v>
      </c>
      <c r="F64" t="s">
        <v>17</v>
      </c>
      <c r="G64" t="s">
        <v>18</v>
      </c>
      <c r="H64" t="s">
        <v>73</v>
      </c>
    </row>
    <row r="65" spans="1:8" x14ac:dyDescent="0.35">
      <c r="A65" t="s">
        <v>12</v>
      </c>
      <c r="B65" t="s">
        <v>105</v>
      </c>
      <c r="C65">
        <v>0</v>
      </c>
      <c r="D65" t="s">
        <v>32</v>
      </c>
      <c r="E65" t="s">
        <v>106</v>
      </c>
      <c r="F65" t="s">
        <v>17</v>
      </c>
      <c r="G65" t="s">
        <v>18</v>
      </c>
      <c r="H65" t="s">
        <v>19</v>
      </c>
    </row>
    <row r="66" spans="1:8" x14ac:dyDescent="0.35">
      <c r="A66" t="s">
        <v>12</v>
      </c>
      <c r="B66" t="s">
        <v>107</v>
      </c>
      <c r="C66">
        <v>0</v>
      </c>
      <c r="D66">
        <v>0</v>
      </c>
      <c r="E66" t="s">
        <v>107</v>
      </c>
      <c r="F66" t="s">
        <v>17</v>
      </c>
      <c r="G66" t="s">
        <v>18</v>
      </c>
      <c r="H66" t="s">
        <v>30</v>
      </c>
    </row>
    <row r="67" spans="1:8" x14ac:dyDescent="0.35">
      <c r="A67" t="s">
        <v>27</v>
      </c>
      <c r="B67" t="s">
        <v>108</v>
      </c>
      <c r="C67">
        <v>0</v>
      </c>
      <c r="D67" t="s">
        <v>15</v>
      </c>
      <c r="E67" t="s">
        <v>109</v>
      </c>
      <c r="F67" t="s">
        <v>17</v>
      </c>
      <c r="G67" t="s">
        <v>18</v>
      </c>
      <c r="H67" t="s">
        <v>30</v>
      </c>
    </row>
    <row r="68" spans="1:8" x14ac:dyDescent="0.35">
      <c r="A68" t="s">
        <v>27</v>
      </c>
      <c r="B68" t="s">
        <v>110</v>
      </c>
      <c r="C68">
        <v>0</v>
      </c>
      <c r="D68">
        <v>0</v>
      </c>
      <c r="E68" t="s">
        <v>110</v>
      </c>
      <c r="F68" t="s">
        <v>17</v>
      </c>
      <c r="G68" t="s">
        <v>18</v>
      </c>
      <c r="H68" t="s">
        <v>30</v>
      </c>
    </row>
    <row r="69" spans="1:8" x14ac:dyDescent="0.35">
      <c r="A69" t="s">
        <v>12</v>
      </c>
      <c r="B69" t="s">
        <v>94</v>
      </c>
      <c r="C69">
        <v>0</v>
      </c>
      <c r="D69" t="s">
        <v>29</v>
      </c>
      <c r="E69" t="s">
        <v>111</v>
      </c>
      <c r="F69" t="s">
        <v>17</v>
      </c>
      <c r="G69" t="s">
        <v>18</v>
      </c>
      <c r="H69" t="s">
        <v>30</v>
      </c>
    </row>
    <row r="70" spans="1:8" x14ac:dyDescent="0.35">
      <c r="A70" t="s">
        <v>12</v>
      </c>
      <c r="B70" t="s">
        <v>94</v>
      </c>
      <c r="C70">
        <v>0</v>
      </c>
      <c r="D70" t="s">
        <v>29</v>
      </c>
      <c r="E70" t="s">
        <v>112</v>
      </c>
      <c r="F70" t="s">
        <v>17</v>
      </c>
      <c r="G70" t="s">
        <v>18</v>
      </c>
      <c r="H70" t="s">
        <v>30</v>
      </c>
    </row>
    <row r="71" spans="1:8" x14ac:dyDescent="0.35">
      <c r="A71" t="s">
        <v>12</v>
      </c>
      <c r="B71" t="s">
        <v>13</v>
      </c>
      <c r="C71" t="s">
        <v>14</v>
      </c>
      <c r="D71" t="s">
        <v>15</v>
      </c>
      <c r="E71" t="s">
        <v>113</v>
      </c>
      <c r="F71" t="s">
        <v>17</v>
      </c>
      <c r="G71" t="s">
        <v>18</v>
      </c>
      <c r="H71" t="s">
        <v>19</v>
      </c>
    </row>
    <row r="72" spans="1:8" x14ac:dyDescent="0.35">
      <c r="A72" t="s">
        <v>22</v>
      </c>
      <c r="B72" t="s">
        <v>114</v>
      </c>
      <c r="C72">
        <v>0</v>
      </c>
      <c r="D72">
        <v>0</v>
      </c>
      <c r="E72" t="s">
        <v>114</v>
      </c>
      <c r="F72" t="s">
        <v>17</v>
      </c>
      <c r="G72" t="s">
        <v>18</v>
      </c>
      <c r="H72" t="s">
        <v>30</v>
      </c>
    </row>
    <row r="73" spans="1:8" x14ac:dyDescent="0.35">
      <c r="A73" t="s">
        <v>27</v>
      </c>
      <c r="B73" t="s">
        <v>108</v>
      </c>
      <c r="C73">
        <v>0</v>
      </c>
      <c r="D73" t="s">
        <v>15</v>
      </c>
      <c r="E73" t="s">
        <v>115</v>
      </c>
      <c r="F73" t="s">
        <v>17</v>
      </c>
      <c r="G73" t="s">
        <v>18</v>
      </c>
      <c r="H73" t="s">
        <v>30</v>
      </c>
    </row>
    <row r="74" spans="1:8" x14ac:dyDescent="0.35">
      <c r="A74" t="s">
        <v>27</v>
      </c>
      <c r="B74" t="s">
        <v>116</v>
      </c>
      <c r="C74">
        <v>0</v>
      </c>
      <c r="D74">
        <v>0</v>
      </c>
      <c r="E74" t="s">
        <v>116</v>
      </c>
      <c r="F74" t="s">
        <v>17</v>
      </c>
      <c r="G74" t="s">
        <v>18</v>
      </c>
      <c r="H74" t="s">
        <v>30</v>
      </c>
    </row>
    <row r="75" spans="1:8" x14ac:dyDescent="0.35">
      <c r="A75" t="s">
        <v>22</v>
      </c>
      <c r="B75" t="s">
        <v>78</v>
      </c>
      <c r="C75">
        <v>0</v>
      </c>
      <c r="D75" t="s">
        <v>29</v>
      </c>
      <c r="E75" t="s">
        <v>117</v>
      </c>
      <c r="F75" t="s">
        <v>17</v>
      </c>
      <c r="G75" t="s">
        <v>18</v>
      </c>
      <c r="H75" t="s">
        <v>30</v>
      </c>
    </row>
    <row r="76" spans="1:8" x14ac:dyDescent="0.35">
      <c r="A76" t="s">
        <v>22</v>
      </c>
      <c r="B76" t="s">
        <v>78</v>
      </c>
      <c r="C76">
        <v>0</v>
      </c>
      <c r="D76" t="s">
        <v>29</v>
      </c>
      <c r="E76" t="s">
        <v>118</v>
      </c>
      <c r="F76" t="s">
        <v>17</v>
      </c>
      <c r="G76" t="s">
        <v>18</v>
      </c>
      <c r="H76" t="s">
        <v>30</v>
      </c>
    </row>
    <row r="77" spans="1:8" x14ac:dyDescent="0.35">
      <c r="A77" t="s">
        <v>12</v>
      </c>
      <c r="B77" t="s">
        <v>87</v>
      </c>
      <c r="C77">
        <v>0</v>
      </c>
      <c r="D77" t="s">
        <v>32</v>
      </c>
      <c r="E77" t="s">
        <v>119</v>
      </c>
      <c r="F77" t="s">
        <v>17</v>
      </c>
      <c r="G77" t="s">
        <v>18</v>
      </c>
      <c r="H77" t="s">
        <v>30</v>
      </c>
    </row>
    <row r="78" spans="1:8" x14ac:dyDescent="0.35">
      <c r="A78" t="s">
        <v>22</v>
      </c>
      <c r="B78" t="s">
        <v>120</v>
      </c>
      <c r="C78">
        <v>0</v>
      </c>
      <c r="D78">
        <v>0</v>
      </c>
      <c r="E78" t="s">
        <v>120</v>
      </c>
      <c r="F78" t="s">
        <v>17</v>
      </c>
      <c r="G78" t="s">
        <v>18</v>
      </c>
      <c r="H78" t="s">
        <v>19</v>
      </c>
    </row>
    <row r="79" spans="1:8" x14ac:dyDescent="0.35">
      <c r="A79" t="s">
        <v>22</v>
      </c>
      <c r="B79" t="s">
        <v>121</v>
      </c>
      <c r="C79">
        <v>0</v>
      </c>
      <c r="D79">
        <v>0</v>
      </c>
      <c r="E79" t="s">
        <v>122</v>
      </c>
      <c r="F79" t="s">
        <v>17</v>
      </c>
      <c r="G79" t="s">
        <v>18</v>
      </c>
      <c r="H79" t="s">
        <v>30</v>
      </c>
    </row>
    <row r="80" spans="1:8" x14ac:dyDescent="0.35">
      <c r="A80" t="s">
        <v>22</v>
      </c>
      <c r="B80" t="s">
        <v>123</v>
      </c>
      <c r="C80">
        <v>0</v>
      </c>
      <c r="D80">
        <v>0</v>
      </c>
      <c r="E80" t="s">
        <v>124</v>
      </c>
      <c r="F80" t="s">
        <v>17</v>
      </c>
      <c r="G80" t="s">
        <v>18</v>
      </c>
      <c r="H80" t="s">
        <v>30</v>
      </c>
    </row>
    <row r="81" spans="1:8" x14ac:dyDescent="0.35">
      <c r="A81" t="s">
        <v>27</v>
      </c>
      <c r="B81" t="s">
        <v>43</v>
      </c>
      <c r="C81">
        <v>0</v>
      </c>
      <c r="D81" t="s">
        <v>41</v>
      </c>
      <c r="E81" t="s">
        <v>125</v>
      </c>
      <c r="F81" t="s">
        <v>17</v>
      </c>
      <c r="G81" t="s">
        <v>18</v>
      </c>
      <c r="H81" t="s">
        <v>30</v>
      </c>
    </row>
    <row r="82" spans="1:8" x14ac:dyDescent="0.35">
      <c r="A82" t="s">
        <v>27</v>
      </c>
      <c r="B82" t="s">
        <v>126</v>
      </c>
      <c r="C82">
        <v>0</v>
      </c>
      <c r="D82" t="s">
        <v>32</v>
      </c>
      <c r="E82" t="s">
        <v>127</v>
      </c>
      <c r="F82" t="s">
        <v>17</v>
      </c>
      <c r="G82" t="s">
        <v>18</v>
      </c>
      <c r="H82" t="s">
        <v>19</v>
      </c>
    </row>
    <row r="83" spans="1:8" x14ac:dyDescent="0.35">
      <c r="A83" t="s">
        <v>22</v>
      </c>
      <c r="B83" t="s">
        <v>128</v>
      </c>
      <c r="C83">
        <v>0</v>
      </c>
      <c r="D83" t="s">
        <v>32</v>
      </c>
      <c r="E83" t="s">
        <v>129</v>
      </c>
      <c r="F83" t="s">
        <v>17</v>
      </c>
      <c r="G83" t="s">
        <v>18</v>
      </c>
      <c r="H83" t="s">
        <v>19</v>
      </c>
    </row>
    <row r="84" spans="1:8" x14ac:dyDescent="0.35">
      <c r="A84" t="s">
        <v>27</v>
      </c>
      <c r="B84" t="s">
        <v>130</v>
      </c>
      <c r="C84">
        <v>0</v>
      </c>
      <c r="D84" t="s">
        <v>32</v>
      </c>
      <c r="E84" t="s">
        <v>131</v>
      </c>
      <c r="F84" t="s">
        <v>17</v>
      </c>
      <c r="G84" t="s">
        <v>18</v>
      </c>
      <c r="H84" t="s">
        <v>19</v>
      </c>
    </row>
    <row r="85" spans="1:8" x14ac:dyDescent="0.35">
      <c r="A85" t="s">
        <v>27</v>
      </c>
      <c r="B85" t="s">
        <v>43</v>
      </c>
      <c r="C85">
        <v>0</v>
      </c>
      <c r="D85" t="s">
        <v>41</v>
      </c>
      <c r="E85" t="s">
        <v>132</v>
      </c>
      <c r="F85" t="s">
        <v>17</v>
      </c>
      <c r="G85" t="s">
        <v>18</v>
      </c>
      <c r="H85" t="s">
        <v>30</v>
      </c>
    </row>
    <row r="86" spans="1:8" x14ac:dyDescent="0.35">
      <c r="A86" t="s">
        <v>27</v>
      </c>
      <c r="B86" t="s">
        <v>43</v>
      </c>
      <c r="C86">
        <v>0</v>
      </c>
      <c r="D86" t="s">
        <v>41</v>
      </c>
      <c r="E86" t="s">
        <v>133</v>
      </c>
      <c r="F86" t="s">
        <v>17</v>
      </c>
      <c r="G86" t="s">
        <v>18</v>
      </c>
      <c r="H86" t="s">
        <v>30</v>
      </c>
    </row>
    <row r="87" spans="1:8" x14ac:dyDescent="0.35">
      <c r="A87" t="s">
        <v>22</v>
      </c>
      <c r="B87" t="s">
        <v>134</v>
      </c>
      <c r="C87">
        <v>0</v>
      </c>
      <c r="D87" t="s">
        <v>41</v>
      </c>
      <c r="E87" t="s">
        <v>134</v>
      </c>
      <c r="F87" t="s">
        <v>17</v>
      </c>
      <c r="G87" t="s">
        <v>18</v>
      </c>
      <c r="H87" t="s">
        <v>30</v>
      </c>
    </row>
    <row r="88" spans="1:8" x14ac:dyDescent="0.35">
      <c r="A88" t="s">
        <v>27</v>
      </c>
      <c r="B88" t="s">
        <v>36</v>
      </c>
      <c r="C88">
        <v>0</v>
      </c>
      <c r="D88" t="s">
        <v>41</v>
      </c>
      <c r="E88" t="s">
        <v>135</v>
      </c>
      <c r="F88" t="s">
        <v>17</v>
      </c>
      <c r="G88" t="s">
        <v>18</v>
      </c>
      <c r="H88" t="s">
        <v>19</v>
      </c>
    </row>
    <row r="89" spans="1:8" x14ac:dyDescent="0.35">
      <c r="A89" t="s">
        <v>22</v>
      </c>
      <c r="B89" t="s">
        <v>128</v>
      </c>
      <c r="C89">
        <v>0</v>
      </c>
      <c r="D89" t="s">
        <v>32</v>
      </c>
      <c r="E89" t="s">
        <v>136</v>
      </c>
      <c r="F89" t="s">
        <v>17</v>
      </c>
      <c r="G89" t="s">
        <v>18</v>
      </c>
      <c r="H89" t="s">
        <v>19</v>
      </c>
    </row>
    <row r="90" spans="1:8" x14ac:dyDescent="0.35">
      <c r="A90" t="s">
        <v>27</v>
      </c>
      <c r="B90" t="s">
        <v>137</v>
      </c>
      <c r="C90">
        <v>0</v>
      </c>
      <c r="D90" t="s">
        <v>32</v>
      </c>
      <c r="E90" t="s">
        <v>138</v>
      </c>
      <c r="F90" t="s">
        <v>17</v>
      </c>
      <c r="G90" t="s">
        <v>18</v>
      </c>
      <c r="H90" t="s">
        <v>73</v>
      </c>
    </row>
    <row r="91" spans="1:8" x14ac:dyDescent="0.35">
      <c r="A91" t="s">
        <v>22</v>
      </c>
      <c r="B91" t="s">
        <v>128</v>
      </c>
      <c r="C91">
        <v>0</v>
      </c>
      <c r="D91" t="s">
        <v>32</v>
      </c>
      <c r="E91" t="s">
        <v>139</v>
      </c>
      <c r="F91" t="s">
        <v>17</v>
      </c>
      <c r="G91" t="s">
        <v>18</v>
      </c>
      <c r="H91" t="s">
        <v>19</v>
      </c>
    </row>
    <row r="92" spans="1:8" x14ac:dyDescent="0.35">
      <c r="A92" t="s">
        <v>22</v>
      </c>
      <c r="B92" t="s">
        <v>128</v>
      </c>
      <c r="C92">
        <v>0</v>
      </c>
      <c r="D92" t="s">
        <v>32</v>
      </c>
      <c r="E92" t="s">
        <v>140</v>
      </c>
      <c r="F92" t="s">
        <v>17</v>
      </c>
      <c r="G92" t="s">
        <v>18</v>
      </c>
      <c r="H92" t="s">
        <v>19</v>
      </c>
    </row>
    <row r="93" spans="1:8" x14ac:dyDescent="0.35">
      <c r="A93" t="s">
        <v>22</v>
      </c>
      <c r="B93" t="s">
        <v>141</v>
      </c>
      <c r="C93">
        <v>0</v>
      </c>
      <c r="D93" t="s">
        <v>32</v>
      </c>
      <c r="E93" t="s">
        <v>142</v>
      </c>
      <c r="F93" t="s">
        <v>17</v>
      </c>
      <c r="G93" t="s">
        <v>18</v>
      </c>
      <c r="H93" t="s">
        <v>30</v>
      </c>
    </row>
    <row r="94" spans="1:8" x14ac:dyDescent="0.35">
      <c r="A94" t="s">
        <v>12</v>
      </c>
      <c r="B94" t="s">
        <v>143</v>
      </c>
      <c r="C94">
        <v>0</v>
      </c>
      <c r="D94" t="s">
        <v>32</v>
      </c>
      <c r="E94" t="s">
        <v>144</v>
      </c>
      <c r="F94" t="s">
        <v>17</v>
      </c>
      <c r="G94" t="s">
        <v>18</v>
      </c>
      <c r="H94" t="s">
        <v>30</v>
      </c>
    </row>
    <row r="95" spans="1:8" x14ac:dyDescent="0.35">
      <c r="A95" t="s">
        <v>22</v>
      </c>
      <c r="B95" t="s">
        <v>145</v>
      </c>
      <c r="C95">
        <v>0</v>
      </c>
      <c r="D95" t="s">
        <v>32</v>
      </c>
      <c r="E95" t="s">
        <v>146</v>
      </c>
      <c r="F95" t="s">
        <v>17</v>
      </c>
      <c r="G95" t="s">
        <v>18</v>
      </c>
      <c r="H95" t="s">
        <v>30</v>
      </c>
    </row>
    <row r="96" spans="1:8" x14ac:dyDescent="0.35">
      <c r="A96" t="s">
        <v>22</v>
      </c>
      <c r="B96" t="s">
        <v>147</v>
      </c>
      <c r="C96">
        <v>0</v>
      </c>
      <c r="D96" t="s">
        <v>32</v>
      </c>
      <c r="E96" t="s">
        <v>147</v>
      </c>
      <c r="F96" t="s">
        <v>17</v>
      </c>
      <c r="G96" t="s">
        <v>18</v>
      </c>
      <c r="H96" t="s">
        <v>30</v>
      </c>
    </row>
    <row r="97" spans="1:8" x14ac:dyDescent="0.35">
      <c r="A97" t="s">
        <v>12</v>
      </c>
      <c r="B97" t="s">
        <v>148</v>
      </c>
      <c r="C97">
        <v>0</v>
      </c>
      <c r="D97" t="s">
        <v>32</v>
      </c>
      <c r="E97" t="s">
        <v>149</v>
      </c>
      <c r="F97" t="s">
        <v>17</v>
      </c>
      <c r="G97" t="s">
        <v>18</v>
      </c>
      <c r="H97" t="s">
        <v>30</v>
      </c>
    </row>
    <row r="98" spans="1:8" x14ac:dyDescent="0.35">
      <c r="A98" t="s">
        <v>22</v>
      </c>
      <c r="B98" t="s">
        <v>150</v>
      </c>
      <c r="C98">
        <v>0</v>
      </c>
      <c r="D98" t="s">
        <v>32</v>
      </c>
      <c r="E98" t="s">
        <v>151</v>
      </c>
      <c r="F98" t="s">
        <v>17</v>
      </c>
      <c r="G98" t="s">
        <v>18</v>
      </c>
      <c r="H98" t="s">
        <v>19</v>
      </c>
    </row>
    <row r="99" spans="1:8" x14ac:dyDescent="0.35">
      <c r="A99" t="s">
        <v>22</v>
      </c>
      <c r="B99" t="s">
        <v>96</v>
      </c>
      <c r="C99">
        <v>0</v>
      </c>
      <c r="D99" t="s">
        <v>32</v>
      </c>
      <c r="E99" t="s">
        <v>152</v>
      </c>
      <c r="F99" t="s">
        <v>17</v>
      </c>
      <c r="G99" t="s">
        <v>18</v>
      </c>
      <c r="H99" t="s">
        <v>30</v>
      </c>
    </row>
    <row r="100" spans="1:8" x14ac:dyDescent="0.35">
      <c r="A100" t="s">
        <v>12</v>
      </c>
      <c r="B100" t="s">
        <v>153</v>
      </c>
      <c r="C100">
        <v>0</v>
      </c>
      <c r="D100" t="s">
        <v>32</v>
      </c>
      <c r="E100" t="s">
        <v>153</v>
      </c>
      <c r="F100" t="s">
        <v>17</v>
      </c>
      <c r="G100" t="s">
        <v>18</v>
      </c>
      <c r="H100" t="s">
        <v>30</v>
      </c>
    </row>
    <row r="101" spans="1:8" x14ac:dyDescent="0.35">
      <c r="A101" t="s">
        <v>12</v>
      </c>
      <c r="B101" t="s">
        <v>154</v>
      </c>
      <c r="C101">
        <v>0</v>
      </c>
      <c r="D101" t="s">
        <v>32</v>
      </c>
      <c r="E101" t="s">
        <v>155</v>
      </c>
      <c r="F101" t="s">
        <v>17</v>
      </c>
      <c r="G101" t="s">
        <v>18</v>
      </c>
      <c r="H101" t="s">
        <v>30</v>
      </c>
    </row>
    <row r="102" spans="1:8" x14ac:dyDescent="0.35">
      <c r="A102" t="s">
        <v>12</v>
      </c>
      <c r="B102" t="s">
        <v>156</v>
      </c>
      <c r="C102">
        <v>0</v>
      </c>
      <c r="D102" t="s">
        <v>32</v>
      </c>
      <c r="E102" t="s">
        <v>157</v>
      </c>
      <c r="F102" t="s">
        <v>17</v>
      </c>
      <c r="G102" t="s">
        <v>18</v>
      </c>
      <c r="H102" t="s">
        <v>30</v>
      </c>
    </row>
    <row r="103" spans="1:8" x14ac:dyDescent="0.35">
      <c r="A103" t="s">
        <v>22</v>
      </c>
      <c r="B103" t="s">
        <v>23</v>
      </c>
      <c r="C103">
        <v>0</v>
      </c>
      <c r="D103" t="s">
        <v>24</v>
      </c>
      <c r="E103" t="s">
        <v>158</v>
      </c>
      <c r="F103" t="s">
        <v>17</v>
      </c>
      <c r="G103" t="s">
        <v>18</v>
      </c>
      <c r="H103" t="s">
        <v>73</v>
      </c>
    </row>
    <row r="104" spans="1:8" x14ac:dyDescent="0.35">
      <c r="A104" t="s">
        <v>22</v>
      </c>
      <c r="B104" t="s">
        <v>23</v>
      </c>
      <c r="C104">
        <v>0</v>
      </c>
      <c r="D104" t="s">
        <v>24</v>
      </c>
      <c r="E104" t="s">
        <v>159</v>
      </c>
      <c r="F104" t="s">
        <v>17</v>
      </c>
      <c r="G104" t="s">
        <v>18</v>
      </c>
      <c r="H104" t="s">
        <v>73</v>
      </c>
    </row>
    <row r="105" spans="1:8" x14ac:dyDescent="0.35">
      <c r="A105" t="s">
        <v>27</v>
      </c>
      <c r="B105" t="s">
        <v>137</v>
      </c>
      <c r="C105">
        <v>0</v>
      </c>
      <c r="D105" t="s">
        <v>32</v>
      </c>
      <c r="E105" t="s">
        <v>160</v>
      </c>
      <c r="F105" t="s">
        <v>17</v>
      </c>
      <c r="G105" t="s">
        <v>18</v>
      </c>
      <c r="H105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1" sqref="B1"/>
    </sheetView>
  </sheetViews>
  <sheetFormatPr baseColWidth="10" defaultRowHeight="15"/>
  <cols>
    <col min="1" max="1" width="26" customWidth="1"/>
    <col min="2" max="2" width="16" customWidth="1"/>
  </cols>
  <sheetData>
    <row r="1">
      <c r="A1" t="inlineStr">
        <is>
          <t>FechaUltimoCierre</t>
        </is>
      </c>
      <c r="B1" t="inlineStr">
        <is>
          <t>2026-04-01</t>
        </is>
      </c>
    </row>
    <row r="3">
      <c r="A3" t="inlineStr">
        <is>
          <t>Ultimo mes con datos REALES (primer dia del mes).</t>
        </is>
      </c>
    </row>
    <row r="4">
      <c r="A4" t="inlineStr">
        <is>
          <t>Real = Fecha &lt;= esta fecha ; Proyectado = posterior.</t>
        </is>
      </c>
    </row>
    <row r="5">
      <c r="A5" t="inlineStr">
        <is>
          <t>Hoy: 2026-04 =&gt; 4 meses reales (ene-abr) + 8 proyectados (may-dic).</t>
        </is>
      </c>
    </row>
    <row r="6">
      <c r="A6" t="inlineStr">
        <is>
          <t>Cada mes: actualizar B1 (formato AAAA-MM-DD) y refrescar Power BI.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Base</vt:lpstr>
      <vt:lpstr>Dim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Budip, Jesica Alejandra</dc:creator>
  <cp:lastModifiedBy>Alonso, Santiago</cp:lastModifiedBy>
  <dcterms:created xsi:type="dcterms:W3CDTF">2026-06-02T15:49:42Z</dcterms:created>
  <dcterms:modified xsi:type="dcterms:W3CDTF">2026-06-17T14:53:22Z</dcterms:modified>
</cp:coreProperties>
</file>